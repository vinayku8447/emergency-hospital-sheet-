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A0D0536D0E3F915/Documents/"/>
    </mc:Choice>
  </mc:AlternateContent>
  <xr:revisionPtr revIDLastSave="1600" documentId="8_{CFBC19DC-0BAB-483A-8FE1-1CCD3992F27F}" xr6:coauthVersionLast="47" xr6:coauthVersionMax="47" xr10:uidLastSave="{4E573AA6-9F85-4BE5-88EE-8AD8784D38E7}"/>
  <bookViews>
    <workbookView xWindow="-110" yWindow="-110" windowWidth="19420" windowHeight="10300" activeTab="2" xr2:uid="{7D104486-0891-4D6F-AFF2-545FA00E5C19}"/>
  </bookViews>
  <sheets>
    <sheet name="pivot report " sheetId="1" r:id="rId1"/>
    <sheet name="Sheet5" sheetId="8" r:id="rId2"/>
    <sheet name="Sheet1" sheetId="3" r:id="rId3"/>
    <sheet name="no of patiece " sheetId="5" r:id="rId4"/>
    <sheet name="average patieece " sheetId="6" r:id="rId5"/>
    <sheet name="satisfy" sheetId="7"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de982a3-e9d3-4781-8d56-f8c06992237a" name="Hospital Emergency Room Data" connection="Query - Hospital Emergency Room Data"/>
          <x15:modelTable id="calender_4a784d0e-7ea1-4181-9fb7-93d05845999e"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 i="1" l="1"/>
  <c r="B76" i="1"/>
  <c r="C75" i="1"/>
  <c r="C76" i="1"/>
  <c r="A75" i="1"/>
  <c r="A7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26673F-141E-4C1A-93C6-D518CCAF197B}" name="Query - calender" description="Connection to the 'calender' query in the workbook." type="100" refreshedVersion="8" minRefreshableVersion="5">
    <extLst>
      <ext xmlns:x15="http://schemas.microsoft.com/office/spreadsheetml/2010/11/main" uri="{DE250136-89BD-433C-8126-D09CA5730AF9}">
        <x15:connection id="3e804bb8-7273-457e-a2f1-2aedb4662b0b"/>
      </ext>
    </extLst>
  </connection>
  <connection id="2" xr16:uid="{AC8F0856-C097-4E40-8268-101CAF4759A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35e2806-dfc4-448f-9ac8-5f163df8c9a2"/>
      </ext>
    </extLst>
  </connection>
  <connection id="3" xr16:uid="{17E323FE-6F19-4EC7-A750-66DF361D87B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<sst xmlns="http://schemas.openxmlformats.org/spreadsheetml/2006/main" count="153" uniqueCount="67">
  <si>
    <t>Count of Patient Id</t>
  </si>
  <si>
    <t>Average of Patient Waittime</t>
  </si>
  <si>
    <t>Average of Patient Satisfaction Score</t>
  </si>
  <si>
    <t>Grand Total</t>
  </si>
  <si>
    <t>Row Labels</t>
  </si>
  <si>
    <t>delay</t>
  </si>
  <si>
    <t>Ontime</t>
  </si>
  <si>
    <t>Count of patient attent status</t>
  </si>
  <si>
    <t>admitted</t>
  </si>
  <si>
    <t>not admitted</t>
  </si>
  <si>
    <t>admitted status</t>
  </si>
  <si>
    <t>patient</t>
  </si>
  <si>
    <t>% status</t>
  </si>
  <si>
    <t>0-10</t>
  </si>
  <si>
    <t>10-20</t>
  </si>
  <si>
    <t>20-30</t>
  </si>
  <si>
    <t>30-40</t>
  </si>
  <si>
    <t>40-50</t>
  </si>
  <si>
    <t>50-60</t>
  </si>
  <si>
    <t>60-70</t>
  </si>
  <si>
    <t>70-80</t>
  </si>
  <si>
    <t>Count of Patient Age</t>
  </si>
  <si>
    <t>Female</t>
  </si>
  <si>
    <t>Male</t>
  </si>
  <si>
    <t>C</t>
  </si>
  <si>
    <t>V</t>
  </si>
  <si>
    <t>Cardiology</t>
  </si>
  <si>
    <t>Gastroenterology</t>
  </si>
  <si>
    <t>General Practice</t>
  </si>
  <si>
    <t>Neurology</t>
  </si>
  <si>
    <t>None</t>
  </si>
  <si>
    <t>Orthopedics</t>
  </si>
  <si>
    <t>Physiotherapy</t>
  </si>
  <si>
    <t>Renal</t>
  </si>
  <si>
    <t>Count of Department Referral</t>
  </si>
  <si>
    <t>2023</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</si>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</sst>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4" tint="0.399975585192419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2"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0" fillId="3" borderId="0" xfId="0" applyFill="1"/>
    <xf numFmtId="10" fontId="0" fillId="0" borderId="0" xfId="0" applyNumberFormat="1"/>
    <xf numFmtId="0" fontId="1" fillId="4" borderId="0" xfId="0" applyFont="1" applyFill="1" applyAlignment="1">
      <alignment horizontal="center" vertical="center"/>
    </xf>
    <xf numFmtId="0" fontId="1" fillId="0" borderId="0" xfId="0" applyFont="1" applyAlignment="1">
      <alignment horizontal="center" vertical="center"/>
    </xf>
    <xf numFmtId="2" fontId="1" fillId="0" borderId="0" xfId="0" applyNumberFormat="1" applyFont="1" applyAlignment="1">
      <alignment horizontal="center" vertical="center"/>
    </xf>
    <xf numFmtId="10" fontId="1" fillId="0" borderId="0" xfId="0" applyNumberFormat="1" applyFont="1" applyAlignment="1">
      <alignment horizontal="center" vertical="center"/>
    </xf>
    <xf numFmtId="1" fontId="0" fillId="0" borderId="0" xfId="0" applyNumberFormat="1"/>
  </cellXfs>
  <cellStyles count="1">
    <cellStyle name="Normal" xfId="0" builtinId="0"/>
  </cellStyles>
  <dxfs count="1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fill>
        <patternFill patternType="solid">
          <bgColor theme="9" tint="0.39994506668294322"/>
        </patternFill>
      </fill>
      <border diagonalUp="0" diagonalDown="0">
        <left/>
        <right/>
        <top/>
        <bottom/>
        <vertical/>
        <horizontal/>
      </border>
    </dxf>
  </dxfs>
  <tableStyles count="1" defaultTableStyle="TableStyleMedium2" defaultPivotStyle="PivotStyleLight16">
    <tableStyle name="mystle" pivot="0" table="0" count="9" xr9:uid="{49758C0B-B211-4D11-A2DB-A501F98233BC}">
      <tableStyleElement type="wholeTable"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5.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a:noFill/>
          </a:ln>
          <a:effectLst/>
        </c:spPr>
        <c:dLbl>
          <c:idx val="0"/>
          <c:layout>
            <c:manualLayout>
              <c:x val="4.2628774422735348E-2"/>
              <c:y val="0"/>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solidFill>
          <a:ln>
            <a:noFill/>
          </a:ln>
          <a:effectLst/>
        </c:spPr>
        <c:dLbl>
          <c:idx val="0"/>
          <c:layout>
            <c:manualLayout>
              <c:x val="5.412315911665571E-2"/>
              <c:y val="0"/>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3.5523978685612786E-2"/>
          <c:y val="9.6916299559471369E-2"/>
          <c:w val="0.80461811722912968"/>
          <c:h val="0.80616740088105732"/>
        </c:manualLayout>
      </c:layout>
      <c:barChart>
        <c:barDir val="bar"/>
        <c:grouping val="clustered"/>
        <c:varyColors val="0"/>
        <c:ser>
          <c:idx val="0"/>
          <c:order val="0"/>
          <c:tx>
            <c:strRef>
              <c:f>'pivot report '!$B$67</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C368-4356-A1B0-AE2AC4113CF4}"/>
              </c:ext>
            </c:extLst>
          </c:dPt>
          <c:dPt>
            <c:idx val="1"/>
            <c:invertIfNegative val="0"/>
            <c:bubble3D val="0"/>
            <c:extLst>
              <c:ext xmlns:c16="http://schemas.microsoft.com/office/drawing/2014/chart" uri="{C3380CC4-5D6E-409C-BE32-E72D297353CC}">
                <c16:uniqueId val="{00000001-C368-4356-A1B0-AE2AC4113CF4}"/>
              </c:ext>
            </c:extLst>
          </c:dPt>
          <c:dLbls>
            <c:dLbl>
              <c:idx val="0"/>
              <c:layout>
                <c:manualLayout>
                  <c:x val="5.41231591166557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68-4356-A1B0-AE2AC4113CF4}"/>
                </c:ext>
              </c:extLst>
            </c:dLbl>
            <c:dLbl>
              <c:idx val="1"/>
              <c:layout>
                <c:manualLayout>
                  <c:x val="4.262877442273534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68-4356-A1B0-AE2AC4113CF4}"/>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report '!$A$68:$A$70</c:f>
              <c:strCache>
                <c:ptCount val="2"/>
                <c:pt idx="0">
                  <c:v>admitted</c:v>
                </c:pt>
                <c:pt idx="1">
                  <c:v>not admitted</c:v>
                </c:pt>
              </c:strCache>
            </c:strRef>
          </c:cat>
          <c:val>
            <c:numRef>
              <c:f>'pivot report '!$B$68:$B$70</c:f>
              <c:numCache>
                <c:formatCode>0.00%</c:formatCode>
                <c:ptCount val="2"/>
                <c:pt idx="0">
                  <c:v>0.5112474437627812</c:v>
                </c:pt>
                <c:pt idx="1">
                  <c:v>0.4887525562372188</c:v>
                </c:pt>
              </c:numCache>
            </c:numRef>
          </c:val>
          <c:extLst>
            <c:ext xmlns:c16="http://schemas.microsoft.com/office/drawing/2014/chart" uri="{C3380CC4-5D6E-409C-BE32-E72D297353CC}">
              <c16:uniqueId val="{00000002-A0FE-4215-AE81-3628EB054C94}"/>
            </c:ext>
          </c:extLst>
        </c:ser>
        <c:dLbls>
          <c:showLegendKey val="0"/>
          <c:showVal val="0"/>
          <c:showCatName val="0"/>
          <c:showSerName val="0"/>
          <c:showPercent val="0"/>
          <c:showBubbleSize val="0"/>
        </c:dLbls>
        <c:gapWidth val="40"/>
        <c:overlap val="-10"/>
        <c:axId val="1105612624"/>
        <c:axId val="1105613104"/>
      </c:barChart>
      <c:catAx>
        <c:axId val="1105612624"/>
        <c:scaling>
          <c:orientation val="minMax"/>
        </c:scaling>
        <c:delete val="1"/>
        <c:axPos val="l"/>
        <c:numFmt formatCode="General" sourceLinked="1"/>
        <c:majorTickMark val="none"/>
        <c:minorTickMark val="none"/>
        <c:tickLblPos val="nextTo"/>
        <c:crossAx val="1105613104"/>
        <c:crosses val="autoZero"/>
        <c:auto val="1"/>
        <c:lblAlgn val="ctr"/>
        <c:lblOffset val="100"/>
        <c:noMultiLvlLbl val="0"/>
      </c:catAx>
      <c:valAx>
        <c:axId val="1105613104"/>
        <c:scaling>
          <c:orientation val="minMax"/>
        </c:scaling>
        <c:delete val="1"/>
        <c:axPos val="b"/>
        <c:numFmt formatCode="0.00%" sourceLinked="1"/>
        <c:majorTickMark val="none"/>
        <c:minorTickMark val="none"/>
        <c:tickLblPos val="nextTo"/>
        <c:crossAx val="110561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41667402745974E-2"/>
          <c:y val="0.2026687901928623"/>
          <c:w val="0.84951666519450808"/>
          <c:h val="0.6495938544644283"/>
        </c:manualLayout>
      </c:layout>
      <c:areaChart>
        <c:grouping val="standard"/>
        <c:varyColors val="0"/>
        <c:ser>
          <c:idx val="0"/>
          <c:order val="0"/>
          <c:tx>
            <c:strRef>
              <c:f>'pivot report '!$E$7</c:f>
              <c:strCache>
                <c:ptCount val="1"/>
                <c:pt idx="0">
                  <c:v>Total</c:v>
                </c:pt>
              </c:strCache>
            </c:strRef>
          </c:tx>
          <c:spPr>
            <a:solidFill>
              <a:schemeClr val="accent1"/>
            </a:solidFill>
            <a:ln w="25400">
              <a:noFill/>
            </a:ln>
            <a:effectLst/>
          </c:spPr>
          <c:cat>
            <c:strRef>
              <c:f>'pivot report '!$D$8:$D$39</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 '!$E$8:$E$39</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0-0720-4150-A907-4C3606475C19}"/>
            </c:ext>
          </c:extLst>
        </c:ser>
        <c:dLbls>
          <c:showLegendKey val="0"/>
          <c:showVal val="0"/>
          <c:showCatName val="0"/>
          <c:showSerName val="0"/>
          <c:showPercent val="0"/>
          <c:showBubbleSize val="0"/>
        </c:dLbls>
        <c:axId val="1801625824"/>
        <c:axId val="1801618144"/>
      </c:areaChart>
      <c:catAx>
        <c:axId val="1801625824"/>
        <c:scaling>
          <c:orientation val="minMax"/>
        </c:scaling>
        <c:delete val="1"/>
        <c:axPos val="b"/>
        <c:numFmt formatCode="General" sourceLinked="1"/>
        <c:majorTickMark val="out"/>
        <c:minorTickMark val="none"/>
        <c:tickLblPos val="nextTo"/>
        <c:crossAx val="1801618144"/>
        <c:crosses val="autoZero"/>
        <c:auto val="1"/>
        <c:lblAlgn val="ctr"/>
        <c:lblOffset val="100"/>
        <c:noMultiLvlLbl val="0"/>
      </c:catAx>
      <c:valAx>
        <c:axId val="1801618144"/>
        <c:scaling>
          <c:orientation val="minMax"/>
        </c:scaling>
        <c:delete val="1"/>
        <c:axPos val="l"/>
        <c:numFmt formatCode="General" sourceLinked="1"/>
        <c:majorTickMark val="none"/>
        <c:minorTickMark val="none"/>
        <c:tickLblPos val="nextTo"/>
        <c:crossAx val="180162582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'!$I$5</c:f>
              <c:strCache>
                <c:ptCount val="1"/>
                <c:pt idx="0">
                  <c:v>Total</c:v>
                </c:pt>
              </c:strCache>
            </c:strRef>
          </c:tx>
          <c:spPr>
            <a:solidFill>
              <a:schemeClr val="accent1"/>
            </a:solidFill>
            <a:ln w="25400">
              <a:noFill/>
            </a:ln>
            <a:effectLst/>
          </c:spPr>
          <c:cat>
            <c:strRef>
              <c:f>'pivot report '!$H$6:$H$37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 '!$I$6:$I$37</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0-B8C1-4818-AECF-29B73FAE85C7}"/>
            </c:ext>
          </c:extLst>
        </c:ser>
        <c:dLbls>
          <c:showLegendKey val="0"/>
          <c:showVal val="0"/>
          <c:showCatName val="0"/>
          <c:showSerName val="0"/>
          <c:showPercent val="0"/>
          <c:showBubbleSize val="0"/>
        </c:dLbls>
        <c:axId val="1883682240"/>
        <c:axId val="1883684160"/>
      </c:areaChart>
      <c:catAx>
        <c:axId val="1883682240"/>
        <c:scaling>
          <c:orientation val="minMax"/>
        </c:scaling>
        <c:delete val="1"/>
        <c:axPos val="b"/>
        <c:numFmt formatCode="General" sourceLinked="1"/>
        <c:majorTickMark val="out"/>
        <c:minorTickMark val="none"/>
        <c:tickLblPos val="nextTo"/>
        <c:crossAx val="1883684160"/>
        <c:crosses val="autoZero"/>
        <c:auto val="1"/>
        <c:lblAlgn val="ctr"/>
        <c:lblOffset val="100"/>
        <c:noMultiLvlLbl val="0"/>
      </c:catAx>
      <c:valAx>
        <c:axId val="1883684160"/>
        <c:scaling>
          <c:orientation val="minMax"/>
        </c:scaling>
        <c:delete val="1"/>
        <c:axPos val="l"/>
        <c:numFmt formatCode="0.00" sourceLinked="1"/>
        <c:majorTickMark val="none"/>
        <c:minorTickMark val="none"/>
        <c:tickLblPos val="nextTo"/>
        <c:crossAx val="188368224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'!$B$14</c:f>
              <c:strCache>
                <c:ptCount val="1"/>
                <c:pt idx="0">
                  <c:v>Total</c:v>
                </c:pt>
              </c:strCache>
            </c:strRef>
          </c:tx>
          <c:spPr>
            <a:solidFill>
              <a:schemeClr val="accent1"/>
            </a:solidFill>
            <a:ln w="25400">
              <a:noFill/>
            </a:ln>
            <a:effectLst/>
          </c:spPr>
          <c:cat>
            <c:strRef>
              <c:f>'pivot report '!$A$15:$A$44</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report '!$B$15:$B$44</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0-2609-48BD-9D6A-8A546ECE6509}"/>
            </c:ext>
          </c:extLst>
        </c:ser>
        <c:dLbls>
          <c:showLegendKey val="0"/>
          <c:showVal val="0"/>
          <c:showCatName val="0"/>
          <c:showSerName val="0"/>
          <c:showPercent val="0"/>
          <c:showBubbleSize val="0"/>
        </c:dLbls>
        <c:axId val="2019946848"/>
        <c:axId val="2019945408"/>
      </c:areaChart>
      <c:catAx>
        <c:axId val="2019946848"/>
        <c:scaling>
          <c:orientation val="minMax"/>
        </c:scaling>
        <c:delete val="1"/>
        <c:axPos val="b"/>
        <c:numFmt formatCode="General" sourceLinked="1"/>
        <c:majorTickMark val="out"/>
        <c:minorTickMark val="none"/>
        <c:tickLblPos val="nextTo"/>
        <c:crossAx val="2019945408"/>
        <c:crosses val="autoZero"/>
        <c:auto val="1"/>
        <c:lblAlgn val="ctr"/>
        <c:lblOffset val="100"/>
        <c:noMultiLvlLbl val="0"/>
      </c:catAx>
      <c:valAx>
        <c:axId val="2019945408"/>
        <c:scaling>
          <c:orientation val="minMax"/>
        </c:scaling>
        <c:delete val="1"/>
        <c:axPos val="l"/>
        <c:numFmt formatCode="0.00" sourceLinked="1"/>
        <c:majorTickMark val="out"/>
        <c:minorTickMark val="none"/>
        <c:tickLblPos val="nextTo"/>
        <c:crossAx val="201994684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'!$A$79:$A$87</c:f>
              <c:strCache>
                <c:ptCount val="8"/>
                <c:pt idx="0">
                  <c:v>0-10</c:v>
                </c:pt>
                <c:pt idx="1">
                  <c:v>10-20</c:v>
                </c:pt>
                <c:pt idx="2">
                  <c:v>20-30</c:v>
                </c:pt>
                <c:pt idx="3">
                  <c:v>30-40</c:v>
                </c:pt>
                <c:pt idx="4">
                  <c:v>40-50</c:v>
                </c:pt>
                <c:pt idx="5">
                  <c:v>50-60</c:v>
                </c:pt>
                <c:pt idx="6">
                  <c:v>60-70</c:v>
                </c:pt>
                <c:pt idx="7">
                  <c:v>70-80</c:v>
                </c:pt>
              </c:strCache>
            </c:strRef>
          </c:cat>
          <c:val>
            <c:numRef>
              <c:f>'pivot report '!$B$79:$B$87</c:f>
              <c:numCache>
                <c:formatCode>0</c:formatCode>
                <c:ptCount val="8"/>
                <c:pt idx="0">
                  <c:v>49</c:v>
                </c:pt>
                <c:pt idx="1">
                  <c:v>56</c:v>
                </c:pt>
                <c:pt idx="2">
                  <c:v>71</c:v>
                </c:pt>
                <c:pt idx="3">
                  <c:v>72</c:v>
                </c:pt>
                <c:pt idx="4">
                  <c:v>64</c:v>
                </c:pt>
                <c:pt idx="5">
                  <c:v>60</c:v>
                </c:pt>
                <c:pt idx="6">
                  <c:v>64</c:v>
                </c:pt>
                <c:pt idx="7">
                  <c:v>53</c:v>
                </c:pt>
              </c:numCache>
            </c:numRef>
          </c:val>
          <c:extLst>
            <c:ext xmlns:c16="http://schemas.microsoft.com/office/drawing/2014/chart" uri="{C3380CC4-5D6E-409C-BE32-E72D297353CC}">
              <c16:uniqueId val="{00000000-9FF7-4C46-B68A-8CA5521B0E29}"/>
            </c:ext>
          </c:extLst>
        </c:ser>
        <c:dLbls>
          <c:showLegendKey val="0"/>
          <c:showVal val="0"/>
          <c:showCatName val="0"/>
          <c:showSerName val="0"/>
          <c:showPercent val="0"/>
          <c:showBubbleSize val="0"/>
        </c:dLbls>
        <c:gapWidth val="219"/>
        <c:overlap val="-27"/>
        <c:axId val="1883551200"/>
        <c:axId val="1883548800"/>
      </c:barChart>
      <c:catAx>
        <c:axId val="18835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548800"/>
        <c:crosses val="autoZero"/>
        <c:auto val="1"/>
        <c:lblAlgn val="ctr"/>
        <c:lblOffset val="100"/>
        <c:noMultiLvlLbl val="0"/>
      </c:catAx>
      <c:valAx>
        <c:axId val="1883548800"/>
        <c:scaling>
          <c:orientation val="minMax"/>
        </c:scaling>
        <c:delete val="1"/>
        <c:axPos val="l"/>
        <c:numFmt formatCode="0" sourceLinked="1"/>
        <c:majorTickMark val="none"/>
        <c:minorTickMark val="none"/>
        <c:tickLblPos val="nextTo"/>
        <c:crossAx val="18835512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!PivotTable11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 '!$F$83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F5-4ACC-AC09-1FFBE77555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F5-4ACC-AC09-1FFBE77555CB}"/>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F5-4ACC-AC09-1FFBE77555CB}"/>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2F5-4ACC-AC09-1FFBE77555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'!$E$84:$E$86</c:f>
              <c:strCache>
                <c:ptCount val="2"/>
                <c:pt idx="0">
                  <c:v>delay</c:v>
                </c:pt>
                <c:pt idx="1">
                  <c:v>Ontime</c:v>
                </c:pt>
              </c:strCache>
            </c:strRef>
          </c:cat>
          <c:val>
            <c:numRef>
              <c:f>'pivot report '!$F$84:$F$86</c:f>
              <c:numCache>
                <c:formatCode>0.00</c:formatCode>
                <c:ptCount val="2"/>
                <c:pt idx="0">
                  <c:v>286</c:v>
                </c:pt>
                <c:pt idx="1">
                  <c:v>203</c:v>
                </c:pt>
              </c:numCache>
            </c:numRef>
          </c:val>
          <c:extLst>
            <c:ext xmlns:c16="http://schemas.microsoft.com/office/drawing/2014/chart" uri="{C3380CC4-5D6E-409C-BE32-E72D297353CC}">
              <c16:uniqueId val="{00000004-AEED-4374-88E4-E1EE8C9184EE}"/>
            </c:ext>
          </c:extLst>
        </c:ser>
        <c:dLbls>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!PivotTable12</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 '!$I$86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DB-4B5C-8F53-3A2C31D663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DB-4B5C-8F53-3A2C31D663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'!$H$87:$H$89</c:f>
              <c:strCache>
                <c:ptCount val="2"/>
                <c:pt idx="0">
                  <c:v>Female</c:v>
                </c:pt>
                <c:pt idx="1">
                  <c:v>Male</c:v>
                </c:pt>
              </c:strCache>
            </c:strRef>
          </c:cat>
          <c:val>
            <c:numRef>
              <c:f>'pivot report '!$I$87:$I$89</c:f>
              <c:numCache>
                <c:formatCode>0.00</c:formatCode>
                <c:ptCount val="2"/>
                <c:pt idx="0">
                  <c:v>240</c:v>
                </c:pt>
                <c:pt idx="1">
                  <c:v>249</c:v>
                </c:pt>
              </c:numCache>
            </c:numRef>
          </c:val>
          <c:extLst>
            <c:ext xmlns:c16="http://schemas.microsoft.com/office/drawing/2014/chart" uri="{C3380CC4-5D6E-409C-BE32-E72D297353CC}">
              <c16:uniqueId val="{00000004-FF10-424A-BCAE-707575F67171}"/>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!PivotTable13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64688506398499"/>
          <c:y val="5.1612903225806452E-2"/>
          <c:w val="0.70184109753472201"/>
          <c:h val="0.88645161290322583"/>
        </c:manualLayout>
      </c:layout>
      <c:barChart>
        <c:barDir val="bar"/>
        <c:grouping val="clustered"/>
        <c:varyColors val="0"/>
        <c:ser>
          <c:idx val="0"/>
          <c:order val="0"/>
          <c:tx>
            <c:strRef>
              <c:f>'pivot report '!$D$97</c:f>
              <c:strCache>
                <c:ptCount val="1"/>
                <c:pt idx="0">
                  <c:v>Total</c:v>
                </c:pt>
              </c:strCache>
            </c:strRef>
          </c:tx>
          <c:spPr>
            <a:solidFill>
              <a:schemeClr val="accent1"/>
            </a:solidFill>
            <a:ln>
              <a:noFill/>
            </a:ln>
            <a:effectLst/>
          </c:spPr>
          <c:invertIfNegative val="0"/>
          <c:cat>
            <c:strRef>
              <c:f>'pivot report '!$C$98:$C$106</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 '!$D$98:$D$106</c:f>
              <c:numCache>
                <c:formatCode>0.00</c:formatCode>
                <c:ptCount val="8"/>
                <c:pt idx="0">
                  <c:v>18</c:v>
                </c:pt>
                <c:pt idx="1">
                  <c:v>8</c:v>
                </c:pt>
                <c:pt idx="2">
                  <c:v>110</c:v>
                </c:pt>
                <c:pt idx="3">
                  <c:v>11</c:v>
                </c:pt>
                <c:pt idx="4">
                  <c:v>278</c:v>
                </c:pt>
                <c:pt idx="5">
                  <c:v>44</c:v>
                </c:pt>
                <c:pt idx="6">
                  <c:v>12</c:v>
                </c:pt>
                <c:pt idx="7">
                  <c:v>8</c:v>
                </c:pt>
              </c:numCache>
            </c:numRef>
          </c:val>
          <c:extLst>
            <c:ext xmlns:c16="http://schemas.microsoft.com/office/drawing/2014/chart" uri="{C3380CC4-5D6E-409C-BE32-E72D297353CC}">
              <c16:uniqueId val="{00000000-A7DC-4DA9-8A26-1F718FE3C987}"/>
            </c:ext>
          </c:extLst>
        </c:ser>
        <c:dLbls>
          <c:showLegendKey val="0"/>
          <c:showVal val="0"/>
          <c:showCatName val="0"/>
          <c:showSerName val="0"/>
          <c:showPercent val="0"/>
          <c:showBubbleSize val="0"/>
        </c:dLbls>
        <c:gapWidth val="182"/>
        <c:axId val="1801521664"/>
        <c:axId val="1801525024"/>
      </c:barChart>
      <c:catAx>
        <c:axId val="180152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25024"/>
        <c:crosses val="autoZero"/>
        <c:auto val="1"/>
        <c:lblAlgn val="ctr"/>
        <c:lblOffset val="100"/>
        <c:noMultiLvlLbl val="0"/>
      </c:catAx>
      <c:valAx>
        <c:axId val="1801525024"/>
        <c:scaling>
          <c:orientation val="minMax"/>
        </c:scaling>
        <c:delete val="1"/>
        <c:axPos val="b"/>
        <c:numFmt formatCode="0.00" sourceLinked="1"/>
        <c:majorTickMark val="none"/>
        <c:minorTickMark val="none"/>
        <c:tickLblPos val="nextTo"/>
        <c:crossAx val="180152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!PivotTable6</c:name>
    <c:fmtId val="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'!$E$7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'!$D$8:$D$39</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 '!$E$8:$E$39</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0-11A2-4B7F-9D91-9B5744D4732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01625824"/>
        <c:axId val="1801618144"/>
      </c:areaChart>
      <c:catAx>
        <c:axId val="180162582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1618144"/>
        <c:crosses val="autoZero"/>
        <c:auto val="1"/>
        <c:lblAlgn val="ctr"/>
        <c:lblOffset val="100"/>
        <c:noMultiLvlLbl val="0"/>
      </c:catAx>
      <c:valAx>
        <c:axId val="1801618144"/>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1801625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!PivotTable4</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'!$H$6:$H$37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 '!$I$6:$I$37</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0-E42A-495A-8D1A-A94BA143639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83682240"/>
        <c:axId val="1883684160"/>
      </c:areaChart>
      <c:catAx>
        <c:axId val="18836822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83684160"/>
        <c:crosses val="autoZero"/>
        <c:auto val="1"/>
        <c:lblAlgn val="ctr"/>
        <c:lblOffset val="100"/>
        <c:noMultiLvlLbl val="0"/>
      </c:catAx>
      <c:valAx>
        <c:axId val="1883684160"/>
        <c:scaling>
          <c:orientation val="minMax"/>
        </c:scaling>
        <c:delete val="1"/>
        <c:axPos val="l"/>
        <c:numFmt formatCode="0.00" sourceLinked="1"/>
        <c:majorTickMark val="out"/>
        <c:minorTickMark val="none"/>
        <c:tickLblPos val="nextTo"/>
        <c:crossAx val="18836822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 bi.xlsx]pivot report !PivotTable3</c:name>
    <c:fmtId val="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'!$B$14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'!$A$15:$A$44</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report '!$B$15:$B$44</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0-7984-4CFD-A9F9-334677FC2BF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19946848"/>
        <c:axId val="2019945408"/>
      </c:areaChart>
      <c:catAx>
        <c:axId val="2019946848"/>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9945408"/>
        <c:crosses val="autoZero"/>
        <c:auto val="1"/>
        <c:lblAlgn val="ctr"/>
        <c:lblOffset val="100"/>
        <c:noMultiLvlLbl val="0"/>
      </c:catAx>
      <c:valAx>
        <c:axId val="2019945408"/>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0.00" sourceLinked="1"/>
        <c:majorTickMark val="out"/>
        <c:minorTickMark val="none"/>
        <c:tickLblPos val="nextTo"/>
        <c:crossAx val="2019946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tisfy!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average patieece '!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no of patiece '!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76200</xdr:colOff>
      <xdr:row>73</xdr:row>
      <xdr:rowOff>127000</xdr:rowOff>
    </xdr:from>
    <xdr:to>
      <xdr:col>3</xdr:col>
      <xdr:colOff>1397000</xdr:colOff>
      <xdr:row>76</xdr:row>
      <xdr:rowOff>31750</xdr:rowOff>
    </xdr:to>
    <xdr:graphicFrame macro="">
      <xdr:nvGraphicFramePr>
        <xdr:cNvPr id="6" name="Chart 5">
          <a:extLst>
            <a:ext uri="{FF2B5EF4-FFF2-40B4-BE49-F238E27FC236}">
              <a16:creationId xmlns:a16="http://schemas.microsoft.com/office/drawing/2014/main" id="{0F9BBB2F-3D0F-206D-5579-AC7AEEE0E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1054100</xdr:colOff>
      <xdr:row>96</xdr:row>
      <xdr:rowOff>44451</xdr:rowOff>
    </xdr:from>
    <xdr:to>
      <xdr:col>4</xdr:col>
      <xdr:colOff>1377950</xdr:colOff>
      <xdr:row>101</xdr:row>
      <xdr:rowOff>69851</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945CE74B-2B6F-9109-999B-3FC69B0E5D5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16300" y="17722851"/>
              <a:ext cx="1828800" cy="946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441188</xdr:colOff>
      <xdr:row>0</xdr:row>
      <xdr:rowOff>45773</xdr:rowOff>
    </xdr:from>
    <xdr:to>
      <xdr:col>17</xdr:col>
      <xdr:colOff>48316</xdr:colOff>
      <xdr:row>23</xdr:row>
      <xdr:rowOff>110435</xdr:rowOff>
    </xdr:to>
    <xdr:sp macro="" textlink="">
      <xdr:nvSpPr>
        <xdr:cNvPr id="4" name="Rectangle: Rounded Corners 3">
          <a:extLst>
            <a:ext uri="{FF2B5EF4-FFF2-40B4-BE49-F238E27FC236}">
              <a16:creationId xmlns:a16="http://schemas.microsoft.com/office/drawing/2014/main" id="{91CAFF10-630C-FCE7-0236-DFABD1B2777E}"/>
            </a:ext>
          </a:extLst>
        </xdr:cNvPr>
        <xdr:cNvSpPr/>
      </xdr:nvSpPr>
      <xdr:spPr>
        <a:xfrm>
          <a:off x="441188" y="45773"/>
          <a:ext cx="9932780" cy="4350912"/>
        </a:xfrm>
        <a:prstGeom prst="roundRect">
          <a:avLst>
            <a:gd name="adj" fmla="val 3105"/>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476250</xdr:colOff>
      <xdr:row>0</xdr:row>
      <xdr:rowOff>96630</xdr:rowOff>
    </xdr:from>
    <xdr:to>
      <xdr:col>5</xdr:col>
      <xdr:colOff>501317</xdr:colOff>
      <xdr:row>3</xdr:row>
      <xdr:rowOff>142040</xdr:rowOff>
    </xdr:to>
    <xdr:sp macro="" textlink="">
      <xdr:nvSpPr>
        <xdr:cNvPr id="5" name="Rectangle: Rounded Corners 4">
          <a:extLst>
            <a:ext uri="{FF2B5EF4-FFF2-40B4-BE49-F238E27FC236}">
              <a16:creationId xmlns:a16="http://schemas.microsoft.com/office/drawing/2014/main" id="{50DDD624-B1A8-4EEE-ABCD-164B8E8A1A11}"/>
            </a:ext>
          </a:extLst>
        </xdr:cNvPr>
        <xdr:cNvSpPr/>
      </xdr:nvSpPr>
      <xdr:spPr>
        <a:xfrm>
          <a:off x="476250" y="96630"/>
          <a:ext cx="3062024" cy="604486"/>
        </a:xfrm>
        <a:prstGeom prst="roundRect">
          <a:avLst>
            <a:gd name="adj" fmla="val 15605"/>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490054</xdr:colOff>
      <xdr:row>4</xdr:row>
      <xdr:rowOff>43591</xdr:rowOff>
    </xdr:from>
    <xdr:to>
      <xdr:col>2</xdr:col>
      <xdr:colOff>110434</xdr:colOff>
      <xdr:row>23</xdr:row>
      <xdr:rowOff>62119</xdr:rowOff>
    </xdr:to>
    <xdr:sp macro="" textlink="">
      <xdr:nvSpPr>
        <xdr:cNvPr id="6" name="Rectangle: Rounded Corners 5">
          <a:extLst>
            <a:ext uri="{FF2B5EF4-FFF2-40B4-BE49-F238E27FC236}">
              <a16:creationId xmlns:a16="http://schemas.microsoft.com/office/drawing/2014/main" id="{26C6BEE7-06B9-41E3-930F-BF6D98771417}"/>
            </a:ext>
          </a:extLst>
        </xdr:cNvPr>
        <xdr:cNvSpPr/>
      </xdr:nvSpPr>
      <xdr:spPr>
        <a:xfrm>
          <a:off x="490054" y="789026"/>
          <a:ext cx="835163" cy="3559343"/>
        </a:xfrm>
        <a:prstGeom prst="roundRect">
          <a:avLst>
            <a:gd name="adj" fmla="val 15605"/>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xdr:colOff>
      <xdr:row>0</xdr:row>
      <xdr:rowOff>150393</xdr:rowOff>
    </xdr:from>
    <xdr:to>
      <xdr:col>11</xdr:col>
      <xdr:colOff>124239</xdr:colOff>
      <xdr:row>3</xdr:row>
      <xdr:rowOff>125329</xdr:rowOff>
    </xdr:to>
    <xdr:sp macro="" textlink="">
      <xdr:nvSpPr>
        <xdr:cNvPr id="7" name="Rectangle: Rounded Corners 6">
          <a:extLst>
            <a:ext uri="{FF2B5EF4-FFF2-40B4-BE49-F238E27FC236}">
              <a16:creationId xmlns:a16="http://schemas.microsoft.com/office/drawing/2014/main" id="{B19B029A-B9CB-41F0-9A3D-75879715E81E}"/>
            </a:ext>
          </a:extLst>
        </xdr:cNvPr>
        <xdr:cNvSpPr/>
      </xdr:nvSpPr>
      <xdr:spPr>
        <a:xfrm>
          <a:off x="3644349" y="150393"/>
          <a:ext cx="3161194" cy="534012"/>
        </a:xfrm>
        <a:prstGeom prst="roundRect">
          <a:avLst>
            <a:gd name="adj" fmla="val 15605"/>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207065</xdr:colOff>
      <xdr:row>4</xdr:row>
      <xdr:rowOff>41413</xdr:rowOff>
    </xdr:from>
    <xdr:to>
      <xdr:col>5</xdr:col>
      <xdr:colOff>41412</xdr:colOff>
      <xdr:row>9</xdr:row>
      <xdr:rowOff>103533</xdr:rowOff>
    </xdr:to>
    <xdr:sp macro="" textlink="">
      <xdr:nvSpPr>
        <xdr:cNvPr id="8" name="Rectangle: Rounded Corners 7">
          <a:extLst>
            <a:ext uri="{FF2B5EF4-FFF2-40B4-BE49-F238E27FC236}">
              <a16:creationId xmlns:a16="http://schemas.microsoft.com/office/drawing/2014/main" id="{00320B85-0A6E-4755-8BF7-142E3B05EC6A}"/>
            </a:ext>
          </a:extLst>
        </xdr:cNvPr>
        <xdr:cNvSpPr/>
      </xdr:nvSpPr>
      <xdr:spPr>
        <a:xfrm>
          <a:off x="1421848" y="786848"/>
          <a:ext cx="1656521" cy="993913"/>
        </a:xfrm>
        <a:prstGeom prst="roundRect">
          <a:avLst>
            <a:gd name="adj" fmla="val 8012"/>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75920</xdr:colOff>
      <xdr:row>4</xdr:row>
      <xdr:rowOff>27608</xdr:rowOff>
    </xdr:from>
    <xdr:to>
      <xdr:col>8</xdr:col>
      <xdr:colOff>41413</xdr:colOff>
      <xdr:row>9</xdr:row>
      <xdr:rowOff>103533</xdr:rowOff>
    </xdr:to>
    <xdr:sp macro="" textlink="">
      <xdr:nvSpPr>
        <xdr:cNvPr id="9" name="Rectangle: Rounded Corners 8">
          <a:extLst>
            <a:ext uri="{FF2B5EF4-FFF2-40B4-BE49-F238E27FC236}">
              <a16:creationId xmlns:a16="http://schemas.microsoft.com/office/drawing/2014/main" id="{7423A079-9762-441C-8C77-7FFAD5A6BBD1}"/>
            </a:ext>
          </a:extLst>
        </xdr:cNvPr>
        <xdr:cNvSpPr/>
      </xdr:nvSpPr>
      <xdr:spPr>
        <a:xfrm>
          <a:off x="3112877" y="773043"/>
          <a:ext cx="1787666" cy="1007718"/>
        </a:xfrm>
        <a:prstGeom prst="roundRect">
          <a:avLst>
            <a:gd name="adj" fmla="val 7895"/>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11</xdr:col>
      <xdr:colOff>303696</xdr:colOff>
      <xdr:row>0</xdr:row>
      <xdr:rowOff>74107</xdr:rowOff>
    </xdr:from>
    <xdr:to>
      <xdr:col>14</xdr:col>
      <xdr:colOff>39234</xdr:colOff>
      <xdr:row>9</xdr:row>
      <xdr:rowOff>117336</xdr:rowOff>
    </xdr:to>
    <xdr:sp macro="" textlink="">
      <xdr:nvSpPr>
        <xdr:cNvPr id="14" name="Rectangle: Rounded Corners 13">
          <a:extLst>
            <a:ext uri="{FF2B5EF4-FFF2-40B4-BE49-F238E27FC236}">
              <a16:creationId xmlns:a16="http://schemas.microsoft.com/office/drawing/2014/main" id="{FC872EFF-9974-4FBE-B348-E39DFC186B18}"/>
            </a:ext>
          </a:extLst>
        </xdr:cNvPr>
        <xdr:cNvSpPr/>
      </xdr:nvSpPr>
      <xdr:spPr>
        <a:xfrm>
          <a:off x="6985000" y="74107"/>
          <a:ext cx="1557712" cy="1720457"/>
        </a:xfrm>
        <a:prstGeom prst="roundRect">
          <a:avLst>
            <a:gd name="adj" fmla="val 6743"/>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82828</xdr:colOff>
      <xdr:row>4</xdr:row>
      <xdr:rowOff>20707</xdr:rowOff>
    </xdr:from>
    <xdr:to>
      <xdr:col>11</xdr:col>
      <xdr:colOff>220871</xdr:colOff>
      <xdr:row>9</xdr:row>
      <xdr:rowOff>75924</xdr:rowOff>
    </xdr:to>
    <xdr:sp macro="" textlink="">
      <xdr:nvSpPr>
        <xdr:cNvPr id="15" name="Rectangle: Rounded Corners 14">
          <a:extLst>
            <a:ext uri="{FF2B5EF4-FFF2-40B4-BE49-F238E27FC236}">
              <a16:creationId xmlns:a16="http://schemas.microsoft.com/office/drawing/2014/main" id="{627792C8-10C3-4149-8C71-CA6048178D72}"/>
            </a:ext>
          </a:extLst>
        </xdr:cNvPr>
        <xdr:cNvSpPr/>
      </xdr:nvSpPr>
      <xdr:spPr>
        <a:xfrm>
          <a:off x="4941958" y="766142"/>
          <a:ext cx="1960217" cy="987010"/>
        </a:xfrm>
        <a:prstGeom prst="roundRect">
          <a:avLst>
            <a:gd name="adj" fmla="val 8787"/>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solidFill>
              <a:schemeClr val="tx1"/>
            </a:solidFill>
          </a:endParaRPr>
        </a:p>
      </xdr:txBody>
    </xdr:sp>
    <xdr:clientData/>
  </xdr:twoCellAnchor>
  <xdr:twoCellAnchor>
    <xdr:from>
      <xdr:col>14</xdr:col>
      <xdr:colOff>112818</xdr:colOff>
      <xdr:row>0</xdr:row>
      <xdr:rowOff>85369</xdr:rowOff>
    </xdr:from>
    <xdr:to>
      <xdr:col>17</xdr:col>
      <xdr:colOff>1</xdr:colOff>
      <xdr:row>9</xdr:row>
      <xdr:rowOff>117336</xdr:rowOff>
    </xdr:to>
    <xdr:sp macro="" textlink="">
      <xdr:nvSpPr>
        <xdr:cNvPr id="16" name="Rectangle: Rounded Corners 15">
          <a:extLst>
            <a:ext uri="{FF2B5EF4-FFF2-40B4-BE49-F238E27FC236}">
              <a16:creationId xmlns:a16="http://schemas.microsoft.com/office/drawing/2014/main" id="{B58B6508-A52E-4B53-9445-B18578A4F067}"/>
            </a:ext>
          </a:extLst>
        </xdr:cNvPr>
        <xdr:cNvSpPr/>
      </xdr:nvSpPr>
      <xdr:spPr>
        <a:xfrm>
          <a:off x="8616296" y="85369"/>
          <a:ext cx="1709357" cy="1709195"/>
        </a:xfrm>
        <a:prstGeom prst="roundRect">
          <a:avLst>
            <a:gd name="adj" fmla="val 4568"/>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216538</xdr:colOff>
      <xdr:row>9</xdr:row>
      <xdr:rowOff>151515</xdr:rowOff>
    </xdr:from>
    <xdr:to>
      <xdr:col>9</xdr:col>
      <xdr:colOff>421032</xdr:colOff>
      <xdr:row>14</xdr:row>
      <xdr:rowOff>62119</xdr:rowOff>
    </xdr:to>
    <xdr:sp macro="" textlink="">
      <xdr:nvSpPr>
        <xdr:cNvPr id="17" name="Rectangle: Rounded Corners 16">
          <a:extLst>
            <a:ext uri="{FF2B5EF4-FFF2-40B4-BE49-F238E27FC236}">
              <a16:creationId xmlns:a16="http://schemas.microsoft.com/office/drawing/2014/main" id="{42C1E1F3-C5D5-4711-B9A5-5D11CF2A591E}"/>
            </a:ext>
          </a:extLst>
        </xdr:cNvPr>
        <xdr:cNvSpPr/>
      </xdr:nvSpPr>
      <xdr:spPr>
        <a:xfrm>
          <a:off x="1431321" y="1828743"/>
          <a:ext cx="4456233" cy="842398"/>
        </a:xfrm>
        <a:prstGeom prst="roundRect">
          <a:avLst>
            <a:gd name="adj" fmla="val 9050"/>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499863</xdr:colOff>
      <xdr:row>9</xdr:row>
      <xdr:rowOff>165652</xdr:rowOff>
    </xdr:from>
    <xdr:to>
      <xdr:col>17</xdr:col>
      <xdr:colOff>13804</xdr:colOff>
      <xdr:row>23</xdr:row>
      <xdr:rowOff>48313</xdr:rowOff>
    </xdr:to>
    <xdr:sp macro="" textlink="">
      <xdr:nvSpPr>
        <xdr:cNvPr id="18" name="Rectangle: Rounded Corners 17">
          <a:extLst>
            <a:ext uri="{FF2B5EF4-FFF2-40B4-BE49-F238E27FC236}">
              <a16:creationId xmlns:a16="http://schemas.microsoft.com/office/drawing/2014/main" id="{ECEEA570-6E19-44D5-A42E-2E222ED123E4}"/>
            </a:ext>
          </a:extLst>
        </xdr:cNvPr>
        <xdr:cNvSpPr/>
      </xdr:nvSpPr>
      <xdr:spPr>
        <a:xfrm>
          <a:off x="5966385" y="1842880"/>
          <a:ext cx="4373071" cy="2491683"/>
        </a:xfrm>
        <a:prstGeom prst="roundRect">
          <a:avLst>
            <a:gd name="adj" fmla="val 2145"/>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231260</xdr:colOff>
      <xdr:row>14</xdr:row>
      <xdr:rowOff>94814</xdr:rowOff>
    </xdr:from>
    <xdr:to>
      <xdr:col>9</xdr:col>
      <xdr:colOff>434837</xdr:colOff>
      <xdr:row>23</xdr:row>
      <xdr:rowOff>55218</xdr:rowOff>
    </xdr:to>
    <xdr:sp macro="" textlink="">
      <xdr:nvSpPr>
        <xdr:cNvPr id="19" name="Rectangle: Rounded Corners 18">
          <a:extLst>
            <a:ext uri="{FF2B5EF4-FFF2-40B4-BE49-F238E27FC236}">
              <a16:creationId xmlns:a16="http://schemas.microsoft.com/office/drawing/2014/main" id="{8A9B079D-09DB-4EFE-8610-8B0627D119B6}"/>
            </a:ext>
          </a:extLst>
        </xdr:cNvPr>
        <xdr:cNvSpPr/>
      </xdr:nvSpPr>
      <xdr:spPr>
        <a:xfrm>
          <a:off x="1446043" y="2703836"/>
          <a:ext cx="4455316" cy="1637632"/>
        </a:xfrm>
        <a:prstGeom prst="roundRect">
          <a:avLst>
            <a:gd name="adj" fmla="val 5790"/>
          </a:avLst>
        </a:prstGeom>
        <a:solidFill>
          <a:schemeClr val="accent6">
            <a:lumMod val="60000"/>
            <a:lumOff val="4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292434</xdr:colOff>
      <xdr:row>0</xdr:row>
      <xdr:rowOff>75925</xdr:rowOff>
    </xdr:from>
    <xdr:to>
      <xdr:col>6</xdr:col>
      <xdr:colOff>20706</xdr:colOff>
      <xdr:row>3</xdr:row>
      <xdr:rowOff>144946</xdr:rowOff>
    </xdr:to>
    <xdr:sp macro="" textlink="">
      <xdr:nvSpPr>
        <xdr:cNvPr id="20" name="TextBox 19">
          <a:extLst>
            <a:ext uri="{FF2B5EF4-FFF2-40B4-BE49-F238E27FC236}">
              <a16:creationId xmlns:a16="http://schemas.microsoft.com/office/drawing/2014/main" id="{3E10C1C6-FDB3-050A-68B5-5CDDBAAE1BE1}"/>
            </a:ext>
          </a:extLst>
        </xdr:cNvPr>
        <xdr:cNvSpPr txBox="1"/>
      </xdr:nvSpPr>
      <xdr:spPr>
        <a:xfrm>
          <a:off x="899825" y="75925"/>
          <a:ext cx="2765229" cy="628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rPr>
            <a:t>HOSPITAL</a:t>
          </a:r>
          <a:r>
            <a:rPr lang="en-IN" sz="1400" b="1" baseline="0">
              <a:solidFill>
                <a:schemeClr val="tx1"/>
              </a:solidFill>
            </a:rPr>
            <a:t> EMERGENCY ROOM DASHBOARD </a:t>
          </a:r>
          <a:endParaRPr lang="en-IN" sz="1400" b="1">
            <a:solidFill>
              <a:schemeClr val="tx1"/>
            </a:solidFill>
          </a:endParaRPr>
        </a:p>
      </xdr:txBody>
    </xdr:sp>
    <xdr:clientData/>
  </xdr:twoCellAnchor>
  <xdr:twoCellAnchor editAs="oneCell">
    <xdr:from>
      <xdr:col>0</xdr:col>
      <xdr:colOff>476249</xdr:colOff>
      <xdr:row>0</xdr:row>
      <xdr:rowOff>75924</xdr:rowOff>
    </xdr:from>
    <xdr:to>
      <xdr:col>1</xdr:col>
      <xdr:colOff>520975</xdr:colOff>
      <xdr:row>3</xdr:row>
      <xdr:rowOff>168965</xdr:rowOff>
    </xdr:to>
    <xdr:pic>
      <xdr:nvPicPr>
        <xdr:cNvPr id="22" name="Graphic 21" descr="City with solid fill">
          <a:extLst>
            <a:ext uri="{FF2B5EF4-FFF2-40B4-BE49-F238E27FC236}">
              <a16:creationId xmlns:a16="http://schemas.microsoft.com/office/drawing/2014/main" id="{ADCEB54E-20E0-6697-9E86-74C0AF525F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49" y="75924"/>
          <a:ext cx="652117" cy="652117"/>
        </a:xfrm>
        <a:prstGeom prst="rect">
          <a:avLst/>
        </a:prstGeom>
      </xdr:spPr>
    </xdr:pic>
    <xdr:clientData/>
  </xdr:twoCellAnchor>
  <xdr:twoCellAnchor>
    <xdr:from>
      <xdr:col>8</xdr:col>
      <xdr:colOff>545272</xdr:colOff>
      <xdr:row>4</xdr:row>
      <xdr:rowOff>89727</xdr:rowOff>
    </xdr:from>
    <xdr:to>
      <xdr:col>10</xdr:col>
      <xdr:colOff>345109</xdr:colOff>
      <xdr:row>6</xdr:row>
      <xdr:rowOff>13802</xdr:rowOff>
    </xdr:to>
    <xdr:sp macro="" textlink="'pivot report '!A4">
      <xdr:nvSpPr>
        <xdr:cNvPr id="23" name="TextBox 22">
          <a:extLst>
            <a:ext uri="{FF2B5EF4-FFF2-40B4-BE49-F238E27FC236}">
              <a16:creationId xmlns:a16="http://schemas.microsoft.com/office/drawing/2014/main" id="{BB7E61FD-35CD-D121-E84C-EC5616EC6465}"/>
            </a:ext>
          </a:extLst>
        </xdr:cNvPr>
        <xdr:cNvSpPr txBox="1"/>
      </xdr:nvSpPr>
      <xdr:spPr>
        <a:xfrm>
          <a:off x="5404402" y="835162"/>
          <a:ext cx="1014620" cy="296792"/>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5A75C9-33F6-421C-8C89-7DA1DB396B30}" type="TxLink">
            <a:rPr lang="en-US" sz="1800" b="1" i="0" u="none" strike="noStrike">
              <a:solidFill>
                <a:srgbClr val="000000"/>
              </a:solidFill>
              <a:latin typeface="Calibri"/>
              <a:ea typeface="Calibri"/>
              <a:cs typeface="Calibri"/>
            </a:rPr>
            <a:pPr/>
            <a:t>4.68</a:t>
          </a:fld>
          <a:endParaRPr lang="en-IN" sz="1800" b="1"/>
        </a:p>
      </xdr:txBody>
    </xdr:sp>
    <xdr:clientData/>
  </xdr:twoCellAnchor>
  <xdr:twoCellAnchor>
    <xdr:from>
      <xdr:col>5</xdr:col>
      <xdr:colOff>400323</xdr:colOff>
      <xdr:row>4</xdr:row>
      <xdr:rowOff>89732</xdr:rowOff>
    </xdr:from>
    <xdr:to>
      <xdr:col>7</xdr:col>
      <xdr:colOff>234669</xdr:colOff>
      <xdr:row>6</xdr:row>
      <xdr:rowOff>55219</xdr:rowOff>
    </xdr:to>
    <xdr:sp macro="" textlink="'pivot report '!A10">
      <xdr:nvSpPr>
        <xdr:cNvPr id="24" name="TextBox 23">
          <a:extLst>
            <a:ext uri="{FF2B5EF4-FFF2-40B4-BE49-F238E27FC236}">
              <a16:creationId xmlns:a16="http://schemas.microsoft.com/office/drawing/2014/main" id="{4EB13F93-0AD9-FF02-D462-FDAD8EFAB095}"/>
            </a:ext>
          </a:extLst>
        </xdr:cNvPr>
        <xdr:cNvSpPr txBox="1"/>
      </xdr:nvSpPr>
      <xdr:spPr>
        <a:xfrm>
          <a:off x="3437280" y="835167"/>
          <a:ext cx="1049128" cy="338204"/>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95A64D-84AC-4E2B-8AE5-4322356644CF}" type="TxLink">
            <a:rPr lang="en-US" sz="1800" b="1" i="0" u="none" strike="noStrike">
              <a:solidFill>
                <a:srgbClr val="000000"/>
              </a:solidFill>
              <a:latin typeface="Calibri"/>
              <a:ea typeface="Calibri"/>
              <a:cs typeface="Calibri"/>
            </a:rPr>
            <a:pPr/>
            <a:t>34.76</a:t>
          </a:fld>
          <a:endParaRPr lang="en-IN" sz="1800" b="1"/>
        </a:p>
      </xdr:txBody>
    </xdr:sp>
    <xdr:clientData/>
  </xdr:twoCellAnchor>
  <xdr:twoCellAnchor>
    <xdr:from>
      <xdr:col>5</xdr:col>
      <xdr:colOff>303696</xdr:colOff>
      <xdr:row>6</xdr:row>
      <xdr:rowOff>13806</xdr:rowOff>
    </xdr:from>
    <xdr:to>
      <xdr:col>7</xdr:col>
      <xdr:colOff>455543</xdr:colOff>
      <xdr:row>7</xdr:row>
      <xdr:rowOff>13805</xdr:rowOff>
    </xdr:to>
    <xdr:sp macro="" textlink="">
      <xdr:nvSpPr>
        <xdr:cNvPr id="25" name="TextBox 24">
          <a:extLst>
            <a:ext uri="{FF2B5EF4-FFF2-40B4-BE49-F238E27FC236}">
              <a16:creationId xmlns:a16="http://schemas.microsoft.com/office/drawing/2014/main" id="{A251FBAC-3696-0694-72B9-8AB222F1DFAE}"/>
            </a:ext>
          </a:extLst>
        </xdr:cNvPr>
        <xdr:cNvSpPr txBox="1"/>
      </xdr:nvSpPr>
      <xdr:spPr>
        <a:xfrm>
          <a:off x="3340653" y="1131958"/>
          <a:ext cx="1366629" cy="186358"/>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Average</a:t>
          </a:r>
          <a:r>
            <a:rPr lang="en-IN" sz="1100" b="1" baseline="0">
              <a:solidFill>
                <a:schemeClr val="dk1"/>
              </a:solidFill>
              <a:effectLst/>
              <a:latin typeface="+mn-lt"/>
              <a:ea typeface="+mn-ea"/>
              <a:cs typeface="+mn-cs"/>
            </a:rPr>
            <a:t> Wait Time </a:t>
          </a:r>
          <a:endParaRPr lang="en-IN" b="1">
            <a:effectLst/>
          </a:endParaRPr>
        </a:p>
        <a:p>
          <a:endParaRPr lang="en-IN" sz="1100"/>
        </a:p>
      </xdr:txBody>
    </xdr:sp>
    <xdr:clientData/>
  </xdr:twoCellAnchor>
  <xdr:twoCellAnchor>
    <xdr:from>
      <xdr:col>2</xdr:col>
      <xdr:colOff>524566</xdr:colOff>
      <xdr:row>4</xdr:row>
      <xdr:rowOff>55216</xdr:rowOff>
    </xdr:from>
    <xdr:to>
      <xdr:col>4</xdr:col>
      <xdr:colOff>103534</xdr:colOff>
      <xdr:row>5</xdr:row>
      <xdr:rowOff>179456</xdr:rowOff>
    </xdr:to>
    <xdr:sp macro="" textlink="'pivot report '!A7">
      <xdr:nvSpPr>
        <xdr:cNvPr id="27" name="TextBox 26">
          <a:extLst>
            <a:ext uri="{FF2B5EF4-FFF2-40B4-BE49-F238E27FC236}">
              <a16:creationId xmlns:a16="http://schemas.microsoft.com/office/drawing/2014/main" id="{62234FBE-FF02-B281-0DE6-5B1C8CD5B115}"/>
            </a:ext>
          </a:extLst>
        </xdr:cNvPr>
        <xdr:cNvSpPr txBox="1"/>
      </xdr:nvSpPr>
      <xdr:spPr>
        <a:xfrm>
          <a:off x="1739349" y="800651"/>
          <a:ext cx="793750" cy="310598"/>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C2A836-8A0E-43C0-BDCC-567B8704892E}" type="TxLink">
            <a:rPr lang="en-US" sz="2000" b="1" i="0" u="none" strike="noStrike">
              <a:solidFill>
                <a:srgbClr val="000000"/>
              </a:solidFill>
              <a:latin typeface="Calibri"/>
              <a:ea typeface="Calibri"/>
              <a:cs typeface="Calibri"/>
            </a:rPr>
            <a:pPr algn="ctr"/>
            <a:t>489</a:t>
          </a:fld>
          <a:endParaRPr lang="en-IN" sz="2000" b="1"/>
        </a:p>
      </xdr:txBody>
    </xdr:sp>
    <xdr:clientData/>
  </xdr:twoCellAnchor>
  <xdr:twoCellAnchor>
    <xdr:from>
      <xdr:col>8</xdr:col>
      <xdr:colOff>221420</xdr:colOff>
      <xdr:row>6</xdr:row>
      <xdr:rowOff>27606</xdr:rowOff>
    </xdr:from>
    <xdr:to>
      <xdr:col>11</xdr:col>
      <xdr:colOff>179455</xdr:colOff>
      <xdr:row>7</xdr:row>
      <xdr:rowOff>165652</xdr:rowOff>
    </xdr:to>
    <xdr:sp macro="" textlink="">
      <xdr:nvSpPr>
        <xdr:cNvPr id="30" name="TextBox 29">
          <a:extLst>
            <a:ext uri="{FF2B5EF4-FFF2-40B4-BE49-F238E27FC236}">
              <a16:creationId xmlns:a16="http://schemas.microsoft.com/office/drawing/2014/main" id="{D6D61EDA-6519-4107-B6C7-5D22B897B031}"/>
            </a:ext>
          </a:extLst>
        </xdr:cNvPr>
        <xdr:cNvSpPr txBox="1"/>
      </xdr:nvSpPr>
      <xdr:spPr>
        <a:xfrm>
          <a:off x="5080550" y="1145758"/>
          <a:ext cx="1780209" cy="324405"/>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 Satisfaction Score</a:t>
          </a:r>
        </a:p>
      </xdr:txBody>
    </xdr:sp>
    <xdr:clientData/>
  </xdr:twoCellAnchor>
  <xdr:twoCellAnchor>
    <xdr:from>
      <xdr:col>2</xdr:col>
      <xdr:colOff>448640</xdr:colOff>
      <xdr:row>5</xdr:row>
      <xdr:rowOff>179456</xdr:rowOff>
    </xdr:from>
    <xdr:to>
      <xdr:col>4</xdr:col>
      <xdr:colOff>207065</xdr:colOff>
      <xdr:row>7</xdr:row>
      <xdr:rowOff>69021</xdr:rowOff>
    </xdr:to>
    <xdr:sp macro="" textlink="">
      <xdr:nvSpPr>
        <xdr:cNvPr id="32" name="TextBox 31">
          <a:extLst>
            <a:ext uri="{FF2B5EF4-FFF2-40B4-BE49-F238E27FC236}">
              <a16:creationId xmlns:a16="http://schemas.microsoft.com/office/drawing/2014/main" id="{A4ABBE99-6030-9FDD-5F49-44084FFC6871}"/>
            </a:ext>
          </a:extLst>
        </xdr:cNvPr>
        <xdr:cNvSpPr txBox="1"/>
      </xdr:nvSpPr>
      <xdr:spPr>
        <a:xfrm>
          <a:off x="1663423" y="1111249"/>
          <a:ext cx="973207" cy="262283"/>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a:t>
          </a:r>
          <a:r>
            <a:rPr lang="en-IN" sz="1100" b="1"/>
            <a:t>Patient </a:t>
          </a:r>
        </a:p>
      </xdr:txBody>
    </xdr:sp>
    <xdr:clientData/>
  </xdr:twoCellAnchor>
  <xdr:twoCellAnchor editAs="oneCell">
    <xdr:from>
      <xdr:col>0</xdr:col>
      <xdr:colOff>476251</xdr:colOff>
      <xdr:row>4</xdr:row>
      <xdr:rowOff>117337</xdr:rowOff>
    </xdr:from>
    <xdr:to>
      <xdr:col>2</xdr:col>
      <xdr:colOff>69022</xdr:colOff>
      <xdr:row>22</xdr:row>
      <xdr:rowOff>165652</xdr:rowOff>
    </xdr:to>
    <mc:AlternateContent xmlns:mc="http://schemas.openxmlformats.org/markup-compatibility/2006" xmlns:a14="http://schemas.microsoft.com/office/drawing/2010/main">
      <mc:Choice Requires="a14">
        <xdr:graphicFrame macro="">
          <xdr:nvGraphicFramePr>
            <xdr:cNvPr id="42" name="date (Month)">
              <a:extLst>
                <a:ext uri="{FF2B5EF4-FFF2-40B4-BE49-F238E27FC236}">
                  <a16:creationId xmlns:a16="http://schemas.microsoft.com/office/drawing/2014/main" id="{CA860A88-B99E-47DA-9D91-968F9173F52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96957" y="862772"/>
              <a:ext cx="786847" cy="3402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138038</xdr:colOff>
      <xdr:row>4</xdr:row>
      <xdr:rowOff>69020</xdr:rowOff>
    </xdr:from>
    <xdr:to>
      <xdr:col>7</xdr:col>
      <xdr:colOff>600486</xdr:colOff>
      <xdr:row>6</xdr:row>
      <xdr:rowOff>56652</xdr:rowOff>
    </xdr:to>
    <xdr:pic>
      <xdr:nvPicPr>
        <xdr:cNvPr id="44" name="Graphic 43" descr="Hourglass Finished with solid fill">
          <a:extLst>
            <a:ext uri="{FF2B5EF4-FFF2-40B4-BE49-F238E27FC236}">
              <a16:creationId xmlns:a16="http://schemas.microsoft.com/office/drawing/2014/main" id="{68477DC7-A311-8F50-D022-C75BD63751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4389777" y="814455"/>
          <a:ext cx="462448" cy="360349"/>
        </a:xfrm>
        <a:prstGeom prst="rect">
          <a:avLst/>
        </a:prstGeom>
      </xdr:spPr>
    </xdr:pic>
    <xdr:clientData/>
  </xdr:twoCellAnchor>
  <xdr:twoCellAnchor editAs="oneCell">
    <xdr:from>
      <xdr:col>4</xdr:col>
      <xdr:colOff>296797</xdr:colOff>
      <xdr:row>4</xdr:row>
      <xdr:rowOff>108584</xdr:rowOff>
    </xdr:from>
    <xdr:to>
      <xdr:col>4</xdr:col>
      <xdr:colOff>572884</xdr:colOff>
      <xdr:row>6</xdr:row>
      <xdr:rowOff>109092</xdr:rowOff>
    </xdr:to>
    <xdr:pic>
      <xdr:nvPicPr>
        <xdr:cNvPr id="46" name="Graphic 45" descr="Male profile with solid fill">
          <a:extLst>
            <a:ext uri="{FF2B5EF4-FFF2-40B4-BE49-F238E27FC236}">
              <a16:creationId xmlns:a16="http://schemas.microsoft.com/office/drawing/2014/main" id="{72856AE3-0B8A-4EB4-31DD-EEBE818954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26362" y="854019"/>
          <a:ext cx="276087" cy="373225"/>
        </a:xfrm>
        <a:prstGeom prst="rect">
          <a:avLst/>
        </a:prstGeom>
      </xdr:spPr>
    </xdr:pic>
    <xdr:clientData/>
  </xdr:twoCellAnchor>
  <xdr:twoCellAnchor editAs="oneCell">
    <xdr:from>
      <xdr:col>10</xdr:col>
      <xdr:colOff>353711</xdr:colOff>
      <xdr:row>4</xdr:row>
      <xdr:rowOff>85740</xdr:rowOff>
    </xdr:from>
    <xdr:to>
      <xdr:col>11</xdr:col>
      <xdr:colOff>103532</xdr:colOff>
      <xdr:row>6</xdr:row>
      <xdr:rowOff>103533</xdr:rowOff>
    </xdr:to>
    <xdr:pic>
      <xdr:nvPicPr>
        <xdr:cNvPr id="48" name="Graphic 47" descr="Person with idea with solid fill">
          <a:extLst>
            <a:ext uri="{FF2B5EF4-FFF2-40B4-BE49-F238E27FC236}">
              <a16:creationId xmlns:a16="http://schemas.microsoft.com/office/drawing/2014/main" id="{A7DADB8A-89CF-ABCA-674C-6F4C8607693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27624" y="831175"/>
          <a:ext cx="357212" cy="390510"/>
        </a:xfrm>
        <a:prstGeom prst="rect">
          <a:avLst/>
        </a:prstGeom>
      </xdr:spPr>
    </xdr:pic>
    <xdr:clientData/>
  </xdr:twoCellAnchor>
  <xdr:twoCellAnchor>
    <xdr:from>
      <xdr:col>2</xdr:col>
      <xdr:colOff>117337</xdr:colOff>
      <xdr:row>5</xdr:row>
      <xdr:rowOff>131142</xdr:rowOff>
    </xdr:from>
    <xdr:to>
      <xdr:col>5</xdr:col>
      <xdr:colOff>151847</xdr:colOff>
      <xdr:row>10</xdr:row>
      <xdr:rowOff>20706</xdr:rowOff>
    </xdr:to>
    <xdr:graphicFrame macro="">
      <xdr:nvGraphicFramePr>
        <xdr:cNvPr id="2" name="Chart 1">
          <a:hlinkClick xmlns:r="http://schemas.openxmlformats.org/officeDocument/2006/relationships" r:id="rId9"/>
          <a:extLst>
            <a:ext uri="{FF2B5EF4-FFF2-40B4-BE49-F238E27FC236}">
              <a16:creationId xmlns:a16="http://schemas.microsoft.com/office/drawing/2014/main" id="{7847E54F-651C-4026-A500-406C580C9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579781</xdr:colOff>
      <xdr:row>6</xdr:row>
      <xdr:rowOff>124238</xdr:rowOff>
    </xdr:from>
    <xdr:to>
      <xdr:col>8</xdr:col>
      <xdr:colOff>138043</xdr:colOff>
      <xdr:row>10</xdr:row>
      <xdr:rowOff>20706</xdr:rowOff>
    </xdr:to>
    <xdr:graphicFrame macro="">
      <xdr:nvGraphicFramePr>
        <xdr:cNvPr id="3" name="Chart 2">
          <a:hlinkClick xmlns:r="http://schemas.openxmlformats.org/officeDocument/2006/relationships" r:id="rId11"/>
          <a:extLst>
            <a:ext uri="{FF2B5EF4-FFF2-40B4-BE49-F238E27FC236}">
              <a16:creationId xmlns:a16="http://schemas.microsoft.com/office/drawing/2014/main" id="{0975EA1A-9EE3-4020-99D5-339D824CF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593586</xdr:colOff>
      <xdr:row>6</xdr:row>
      <xdr:rowOff>110435</xdr:rowOff>
    </xdr:from>
    <xdr:to>
      <xdr:col>11</xdr:col>
      <xdr:colOff>324403</xdr:colOff>
      <xdr:row>10</xdr:row>
      <xdr:rowOff>0</xdr:rowOff>
    </xdr:to>
    <xdr:graphicFrame macro="">
      <xdr:nvGraphicFramePr>
        <xdr:cNvPr id="10" name="Chart 9">
          <a:hlinkClick xmlns:r="http://schemas.openxmlformats.org/officeDocument/2006/relationships" r:id="rId13"/>
          <a:extLst>
            <a:ext uri="{FF2B5EF4-FFF2-40B4-BE49-F238E27FC236}">
              <a16:creationId xmlns:a16="http://schemas.microsoft.com/office/drawing/2014/main" id="{D961AEDF-4552-4280-B984-6EAE461B0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262282</xdr:colOff>
          <xdr:row>10</xdr:row>
          <xdr:rowOff>48313</xdr:rowOff>
        </xdr:from>
        <xdr:to>
          <xdr:col>9</xdr:col>
          <xdr:colOff>324400</xdr:colOff>
          <xdr:row>13</xdr:row>
          <xdr:rowOff>124238</xdr:rowOff>
        </xdr:to>
        <xdr:pic>
          <xdr:nvPicPr>
            <xdr:cNvPr id="12" name="Picture 11">
              <a:extLst>
                <a:ext uri="{FF2B5EF4-FFF2-40B4-BE49-F238E27FC236}">
                  <a16:creationId xmlns:a16="http://schemas.microsoft.com/office/drawing/2014/main" id="{ECA07B6F-8BC2-52F5-554E-E8C0BF1F6A4D}"/>
                </a:ext>
              </a:extLst>
            </xdr:cNvPr>
            <xdr:cNvPicPr>
              <a:picLocks noChangeAspect="1" noChangeArrowheads="1"/>
              <a:extLst>
                <a:ext uri="{84589F7E-364E-4C9E-8A38-B11213B215E9}">
                  <a14:cameraTool cellRange="'pivot report '!$A$74:$D$76" spid="_x0000_s1085"/>
                </a:ext>
              </a:extLst>
            </xdr:cNvPicPr>
          </xdr:nvPicPr>
          <xdr:blipFill>
            <a:blip xmlns:r="http://schemas.openxmlformats.org/officeDocument/2006/relationships" r:embed="rId15"/>
            <a:srcRect/>
            <a:stretch>
              <a:fillRect/>
            </a:stretch>
          </xdr:blipFill>
          <xdr:spPr bwMode="auto">
            <a:xfrm>
              <a:off x="1477065" y="1911900"/>
              <a:ext cx="4313857" cy="635001"/>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2</xdr:col>
      <xdr:colOff>334793</xdr:colOff>
      <xdr:row>14</xdr:row>
      <xdr:rowOff>179456</xdr:rowOff>
    </xdr:from>
    <xdr:to>
      <xdr:col>9</xdr:col>
      <xdr:colOff>262283</xdr:colOff>
      <xdr:row>22</xdr:row>
      <xdr:rowOff>55219</xdr:rowOff>
    </xdr:to>
    <xdr:graphicFrame macro="">
      <xdr:nvGraphicFramePr>
        <xdr:cNvPr id="13" name="Chart 12">
          <a:extLst>
            <a:ext uri="{FF2B5EF4-FFF2-40B4-BE49-F238E27FC236}">
              <a16:creationId xmlns:a16="http://schemas.microsoft.com/office/drawing/2014/main" id="{0E769550-8D9D-432A-A9B2-A2D570088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303695</xdr:colOff>
      <xdr:row>0</xdr:row>
      <xdr:rowOff>82827</xdr:rowOff>
    </xdr:from>
    <xdr:to>
      <xdr:col>14</xdr:col>
      <xdr:colOff>13804</xdr:colOff>
      <xdr:row>9</xdr:row>
      <xdr:rowOff>6903</xdr:rowOff>
    </xdr:to>
    <xdr:graphicFrame macro="">
      <xdr:nvGraphicFramePr>
        <xdr:cNvPr id="21" name="Chart 20">
          <a:extLst>
            <a:ext uri="{FF2B5EF4-FFF2-40B4-BE49-F238E27FC236}">
              <a16:creationId xmlns:a16="http://schemas.microsoft.com/office/drawing/2014/main" id="{B187BFD3-99F1-439A-9761-B0C3B77A6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455544</xdr:colOff>
      <xdr:row>7</xdr:row>
      <xdr:rowOff>151848</xdr:rowOff>
    </xdr:from>
    <xdr:to>
      <xdr:col>13</xdr:col>
      <xdr:colOff>552174</xdr:colOff>
      <xdr:row>9</xdr:row>
      <xdr:rowOff>55218</xdr:rowOff>
    </xdr:to>
    <xdr:sp macro="" textlink="">
      <xdr:nvSpPr>
        <xdr:cNvPr id="34" name="TextBox 33">
          <a:extLst>
            <a:ext uri="{FF2B5EF4-FFF2-40B4-BE49-F238E27FC236}">
              <a16:creationId xmlns:a16="http://schemas.microsoft.com/office/drawing/2014/main" id="{BD7A8D5E-6BB5-FE8F-F24E-1856304714FD}"/>
            </a:ext>
          </a:extLst>
        </xdr:cNvPr>
        <xdr:cNvSpPr txBox="1"/>
      </xdr:nvSpPr>
      <xdr:spPr>
        <a:xfrm>
          <a:off x="7136848" y="1456359"/>
          <a:ext cx="1311413"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Patiece</a:t>
          </a:r>
          <a:r>
            <a:rPr lang="en-IN" sz="900" b="1" baseline="0"/>
            <a:t> attend status</a:t>
          </a:r>
          <a:endParaRPr lang="en-IN" sz="900" b="1"/>
        </a:p>
      </xdr:txBody>
    </xdr:sp>
    <xdr:clientData/>
  </xdr:twoCellAnchor>
  <xdr:twoCellAnchor>
    <xdr:from>
      <xdr:col>14</xdr:col>
      <xdr:colOff>186359</xdr:colOff>
      <xdr:row>7</xdr:row>
      <xdr:rowOff>117337</xdr:rowOff>
    </xdr:from>
    <xdr:to>
      <xdr:col>16</xdr:col>
      <xdr:colOff>565978</xdr:colOff>
      <xdr:row>9</xdr:row>
      <xdr:rowOff>0</xdr:rowOff>
    </xdr:to>
    <xdr:sp macro="" textlink="">
      <xdr:nvSpPr>
        <xdr:cNvPr id="37" name="TextBox 36">
          <a:extLst>
            <a:ext uri="{FF2B5EF4-FFF2-40B4-BE49-F238E27FC236}">
              <a16:creationId xmlns:a16="http://schemas.microsoft.com/office/drawing/2014/main" id="{BD3605F0-00FD-6AD9-DD1A-2B332737B6D9}"/>
            </a:ext>
          </a:extLst>
        </xdr:cNvPr>
        <xdr:cNvSpPr txBox="1"/>
      </xdr:nvSpPr>
      <xdr:spPr>
        <a:xfrm>
          <a:off x="8689837" y="1421848"/>
          <a:ext cx="1594402" cy="255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by gender </a:t>
          </a:r>
        </a:p>
      </xdr:txBody>
    </xdr:sp>
    <xdr:clientData/>
  </xdr:twoCellAnchor>
  <xdr:twoCellAnchor>
    <xdr:from>
      <xdr:col>14</xdr:col>
      <xdr:colOff>179457</xdr:colOff>
      <xdr:row>0</xdr:row>
      <xdr:rowOff>62120</xdr:rowOff>
    </xdr:from>
    <xdr:to>
      <xdr:col>16</xdr:col>
      <xdr:colOff>565978</xdr:colOff>
      <xdr:row>8</xdr:row>
      <xdr:rowOff>103532</xdr:rowOff>
    </xdr:to>
    <xdr:graphicFrame macro="">
      <xdr:nvGraphicFramePr>
        <xdr:cNvPr id="38" name="Chart 37">
          <a:extLst>
            <a:ext uri="{FF2B5EF4-FFF2-40B4-BE49-F238E27FC236}">
              <a16:creationId xmlns:a16="http://schemas.microsoft.com/office/drawing/2014/main" id="{3D95A612-0B22-42C1-91C8-E475380FA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117338</xdr:colOff>
      <xdr:row>9</xdr:row>
      <xdr:rowOff>151848</xdr:rowOff>
    </xdr:from>
    <xdr:to>
      <xdr:col>16</xdr:col>
      <xdr:colOff>524566</xdr:colOff>
      <xdr:row>23</xdr:row>
      <xdr:rowOff>3451</xdr:rowOff>
    </xdr:to>
    <xdr:graphicFrame macro="">
      <xdr:nvGraphicFramePr>
        <xdr:cNvPr id="41" name="Chart 40">
          <a:extLst>
            <a:ext uri="{FF2B5EF4-FFF2-40B4-BE49-F238E27FC236}">
              <a16:creationId xmlns:a16="http://schemas.microsoft.com/office/drawing/2014/main" id="{E343A13E-4F64-4BBF-BE5C-AAD9241B0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572880</xdr:colOff>
      <xdr:row>21</xdr:row>
      <xdr:rowOff>165652</xdr:rowOff>
    </xdr:from>
    <xdr:to>
      <xdr:col>16</xdr:col>
      <xdr:colOff>269185</xdr:colOff>
      <xdr:row>23</xdr:row>
      <xdr:rowOff>20707</xdr:rowOff>
    </xdr:to>
    <xdr:sp macro="" textlink="">
      <xdr:nvSpPr>
        <xdr:cNvPr id="43" name="TextBox 42">
          <a:extLst>
            <a:ext uri="{FF2B5EF4-FFF2-40B4-BE49-F238E27FC236}">
              <a16:creationId xmlns:a16="http://schemas.microsoft.com/office/drawing/2014/main" id="{8B65B0B5-B956-798D-0BB3-23489C4CDE50}"/>
            </a:ext>
          </a:extLst>
        </xdr:cNvPr>
        <xdr:cNvSpPr txBox="1"/>
      </xdr:nvSpPr>
      <xdr:spPr>
        <a:xfrm>
          <a:off x="6646793" y="4079185"/>
          <a:ext cx="3340653" cy="22777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patience by department refer</a:t>
          </a:r>
        </a:p>
      </xdr:txBody>
    </xdr:sp>
    <xdr:clientData/>
  </xdr:twoCellAnchor>
  <xdr:twoCellAnchor>
    <xdr:from>
      <xdr:col>3</xdr:col>
      <xdr:colOff>303695</xdr:colOff>
      <xdr:row>21</xdr:row>
      <xdr:rowOff>117337</xdr:rowOff>
    </xdr:from>
    <xdr:to>
      <xdr:col>9</xdr:col>
      <xdr:colOff>13803</xdr:colOff>
      <xdr:row>22</xdr:row>
      <xdr:rowOff>172555</xdr:rowOff>
    </xdr:to>
    <xdr:sp macro="" textlink="">
      <xdr:nvSpPr>
        <xdr:cNvPr id="45" name="TextBox 44">
          <a:extLst>
            <a:ext uri="{FF2B5EF4-FFF2-40B4-BE49-F238E27FC236}">
              <a16:creationId xmlns:a16="http://schemas.microsoft.com/office/drawing/2014/main" id="{7DA1A64A-D606-643B-134E-5A9DF3EE02AD}"/>
            </a:ext>
          </a:extLst>
        </xdr:cNvPr>
        <xdr:cNvSpPr txBox="1"/>
      </xdr:nvSpPr>
      <xdr:spPr>
        <a:xfrm>
          <a:off x="2125869" y="4030870"/>
          <a:ext cx="3354456" cy="241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patience by age group</a:t>
          </a:r>
        </a:p>
      </xdr:txBody>
    </xdr:sp>
    <xdr:clientData/>
  </xdr:twoCellAnchor>
  <xdr:twoCellAnchor editAs="oneCell">
    <xdr:from>
      <xdr:col>6</xdr:col>
      <xdr:colOff>172555</xdr:colOff>
      <xdr:row>1</xdr:row>
      <xdr:rowOff>6903</xdr:rowOff>
    </xdr:from>
    <xdr:to>
      <xdr:col>11</xdr:col>
      <xdr:colOff>6903</xdr:colOff>
      <xdr:row>3</xdr:row>
      <xdr:rowOff>62120</xdr:rowOff>
    </xdr:to>
    <mc:AlternateContent xmlns:mc="http://schemas.openxmlformats.org/markup-compatibility/2006" xmlns:a14="http://schemas.microsoft.com/office/drawing/2010/main">
      <mc:Choice Requires="a14">
        <xdr:graphicFrame macro="">
          <xdr:nvGraphicFramePr>
            <xdr:cNvPr id="47" name="date (Year) 1">
              <a:extLst>
                <a:ext uri="{FF2B5EF4-FFF2-40B4-BE49-F238E27FC236}">
                  <a16:creationId xmlns:a16="http://schemas.microsoft.com/office/drawing/2014/main" id="{47A34934-F523-4AC0-8361-C8D697E7563C}"/>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816903" y="193262"/>
              <a:ext cx="2871304" cy="427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571500</xdr:colOff>
      <xdr:row>2</xdr:row>
      <xdr:rowOff>146050</xdr:rowOff>
    </xdr:from>
    <xdr:to>
      <xdr:col>10</xdr:col>
      <xdr:colOff>19050</xdr:colOff>
      <xdr:row>16</xdr:row>
      <xdr:rowOff>152400</xdr:rowOff>
    </xdr:to>
    <xdr:graphicFrame macro="">
      <xdr:nvGraphicFramePr>
        <xdr:cNvPr id="2" name="Chart 1">
          <a:extLst>
            <a:ext uri="{FF2B5EF4-FFF2-40B4-BE49-F238E27FC236}">
              <a16:creationId xmlns:a16="http://schemas.microsoft.com/office/drawing/2014/main" id="{87DB5E6D-843C-47E6-83AD-F5DA7B58E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247650</xdr:colOff>
      <xdr:row>4</xdr:row>
      <xdr:rowOff>114300</xdr:rowOff>
    </xdr:from>
    <xdr:to>
      <xdr:col>9</xdr:col>
      <xdr:colOff>552450</xdr:colOff>
      <xdr:row>19</xdr:row>
      <xdr:rowOff>95250</xdr:rowOff>
    </xdr:to>
    <xdr:graphicFrame macro="">
      <xdr:nvGraphicFramePr>
        <xdr:cNvPr id="2" name="Chart 1">
          <a:extLst>
            <a:ext uri="{FF2B5EF4-FFF2-40B4-BE49-F238E27FC236}">
              <a16:creationId xmlns:a16="http://schemas.microsoft.com/office/drawing/2014/main" id="{48A5E1D0-5299-497B-A020-1F1025F9D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25400</xdr:rowOff>
    </xdr:from>
    <xdr:to>
      <xdr:col>11</xdr:col>
      <xdr:colOff>482600</xdr:colOff>
      <xdr:row>16</xdr:row>
      <xdr:rowOff>82550</xdr:rowOff>
    </xdr:to>
    <xdr:graphicFrame macro="">
      <xdr:nvGraphicFramePr>
        <xdr:cNvPr id="4" name="Chart 3">
          <a:extLst>
            <a:ext uri="{FF2B5EF4-FFF2-40B4-BE49-F238E27FC236}">
              <a16:creationId xmlns:a16="http://schemas.microsoft.com/office/drawing/2014/main" id="{2E23A8C1-E092-44B4-9229-AFBEFD8CE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2939812" createdVersion="5" refreshedVersion="8" minRefreshableVersion="3" recordCount="0" supportSubquery="1" supportAdvancedDrill="1" xr:uid="{CD168349-9CD6-4D57-B251-1C9ED5E41740}">
  <cacheSource type="external" connectionId="3"/>
  <cacheFields count="4">
    <cacheField name="[Measures].[Count of Patient Id]" caption="Count of Patient Id" numFmtId="0" hierarchy="23" level="32767"/>
    <cacheField name="[calender].[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3171297" createdVersion="5" refreshedVersion="8" minRefreshableVersion="3" recordCount="0" supportSubquery="1" supportAdvancedDrill="1" xr:uid="{38453AC4-29B9-4A03-930B-F48DF3F482B1}">
  <cacheSource type="external" connectionId="3"/>
  <cacheFields count="3">
    <cacheField name="[Measures].[Count of Patient Id]" caption="Count of Patient Id" numFmtId="0" hierarchy="23"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3171297" createdVersion="5" refreshedVersion="8" minRefreshableVersion="3" recordCount="0" supportSubquery="1" supportAdvancedDrill="1" xr:uid="{E93850E2-2659-4AB6-8136-C05A05D2558D}">
  <cacheSource type="external" connectionId="3"/>
  <cacheFields count="3">
    <cacheField name="[Measures].[Average of Patient Waittime]" caption="Average of Patient Waittime" numFmtId="0" hierarchy="27"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3749998" createdVersion="5" refreshedVersion="8" minRefreshableVersion="3" recordCount="0" supportSubquery="1" supportAdvancedDrill="1" xr:uid="{1D91AC23-D6BF-4530-A093-D859FC11ED02}">
  <cacheSource type="external" connectionId="3"/>
  <cacheFields count="4">
    <cacheField name="[Measures].[Average of Patient Satisfaction Score]" caption="Average of Patient Satisfaction Score" numFmtId="0" hierarchy="29" level="32767"/>
    <cacheField name="[calender].[date (Month)].[date (Month)]" caption="date (Month)" numFmtId="0" hierarchy="1" level="1">
      <sharedItems containsSemiMixedTypes="0" containsNonDate="0" containsString="0"/>
    </cacheField>
    <cacheField name="[calender].[date (Day)].[date (Day)]" caption="date (Day)" numFmtId="0" hierarchy="2" level="1">
      <sharedItems count="29">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2"/>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4097221" createdVersion="5" refreshedVersion="8" minRefreshableVersion="3" recordCount="0" supportSubquery="1" supportAdvancedDrill="1" xr:uid="{A767A651-A7BC-4A6A-900F-2C73C769DB22}">
  <cacheSource type="external" connectionId="3"/>
  <cacheFields count="4">
    <cacheField name="[Measures].[Average of Patient Waittime]" caption="Average of Patient Waittime" numFmtId="0" hierarchy="27" level="32767"/>
    <cacheField name="[calender].[date (Month)].[date (Month)]" caption="date (Month)" numFmtId="0" hierarchy="1" level="1">
      <sharedItems containsSemiMixedTypes="0" containsNonDate="0" containsString="0"/>
    </cacheField>
    <cacheField name="[calender].[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2"/>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4444444" createdVersion="5" refreshedVersion="8" minRefreshableVersion="3" recordCount="0" supportSubquery="1" supportAdvancedDrill="1" xr:uid="{94C00B76-D74D-45E1-82E1-D182C5A759FD}">
  <cacheSource type="external" connectionId="3"/>
  <cacheFields count="4">
    <cacheField name="[calender].[date (Month)].[date (Month)]" caption="date (Month)" numFmtId="0" hierarchy="1" level="1">
      <sharedItems containsSemiMixedTypes="0" containsNonDate="0" containsString="0"/>
    </cacheField>
    <cacheField name="[Measures].[Count of patient attent status]" caption="Count of patient attent status" numFmtId="0" hierarchy="31" level="32767"/>
    <cacheField name="[Hospital Emergency Room Data].[Patient Admission Flag].[Patient Admission Flag]" caption="Patient Admission Flag" numFmtId="0" hierarchy="13" level="1">
      <sharedItems count="2">
        <s v="admitted"/>
        <s v="not admitted"/>
      </sharedItems>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4444444" createdVersion="5" refreshedVersion="8" minRefreshableVersion="3" recordCount="0" supportSubquery="1" supportAdvancedDrill="1" xr:uid="{3ABC9F02-9BBC-4D2A-A349-3F15971BE7B1}">
  <cacheSource type="external" connectionId="3"/>
  <cacheFields count="3">
    <cacheField name="[Measures].[Average of Patient Waittime]" caption="Average of Patient Waittime" numFmtId="0" hierarchy="27"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5023145" createdVersion="5" refreshedVersion="8" minRefreshableVersion="3" recordCount="0" supportSubquery="1" supportAdvancedDrill="1" xr:uid="{2A182BC0-CC55-4327-B867-E16E66EDCC23}">
  <cacheSource type="external" connectionId="3"/>
  <cacheFields count="4">
    <cacheField name="[calender].[date (Month)].[date (Month)]" caption="date (Month)" numFmtId="0" hierarchy="1" level="1">
      <sharedItems containsSemiMixedTypes="0" containsNonDate="0" containsString="0"/>
    </cacheField>
    <cacheField name="[Measures].[Count of patient attent status]" caption="Count of patient attent status" numFmtId="0" hierarchy="31" level="32767"/>
    <cacheField name="[Hospital Emergency Room Data].[Patient Admission Flag].[Patient Admission Flag]" caption="Patient Admission Flag" numFmtId="0" hierarchy="13" level="1">
      <sharedItems count="2">
        <s v="admitted"/>
        <s v="not admitted"/>
      </sharedItems>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5370368" createdVersion="5" refreshedVersion="8" minRefreshableVersion="3" recordCount="0" supportSubquery="1" supportAdvancedDrill="1" xr:uid="{0DC9BE5B-8BF5-4A17-9DC2-89A43C67A162}">
  <cacheSource type="external" connectionId="3"/>
  <cacheFields count="4">
    <cacheField name="[calender].[date (Month)].[date (Month)]" caption="date (Month)" numFmtId="0" hierarchy="1" level="1">
      <sharedItems containsSemiMixedTypes="0" containsNonDate="0" containsString="0"/>
    </cacheField>
    <cacheField name="[Hospital Emergency Room Data].[age group].[age group]" caption="age group" numFmtId="0" hierarchy="16" level="1">
      <sharedItems count="8">
        <s v="0-10"/>
        <s v="10-20"/>
        <s v="20-30"/>
        <s v="30-40"/>
        <s v="40-50"/>
        <s v="50-60"/>
        <s v="60-70"/>
        <s v="70-80"/>
      </sharedItems>
    </cacheField>
    <cacheField name="[Measures].[Count of Patient Age]" caption="Count of Patient Age" numFmtId="0" hierarchy="35" level="32767"/>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5486114" createdVersion="5" refreshedVersion="8" minRefreshableVersion="3" recordCount="0" supportSubquery="1" supportAdvancedDrill="1" xr:uid="{3D2E7CFD-75A6-4838-BAA3-1C06186EDA0E}">
  <cacheSource type="external" connectionId="3"/>
  <cacheFields count="3">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5949076" createdVersion="5" refreshedVersion="8" minRefreshableVersion="3" recordCount="0" supportSubquery="1" supportAdvancedDrill="1" xr:uid="{3FE81679-B6B1-4424-9704-88241ED81274}">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attent status].[patient attent status]" caption="patient attent status" numFmtId="0" hierarchy="17" level="1">
      <sharedItems count="2">
        <s v="delay"/>
        <s v="Ontime"/>
      </sharedItems>
    </cacheField>
    <cacheField name="[Measures].[Count of Patient Id]" caption="Count of Patient Id" numFmtId="0" hierarchy="23" level="32767"/>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fieldsUsage count="2">
        <fieldUsage x="-1"/>
        <fieldUsage x="1"/>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6296299" createdVersion="5" refreshedVersion="8" minRefreshableVersion="3" recordCount="0" supportSubquery="1" supportAdvancedDrill="1" xr:uid="{3C3E3D46-D17C-4A3A-BA59-58D62F60E8A2}">
  <cacheSource type="external" connectionId="3"/>
  <cacheFields count="4">
    <cacheField name="[calender].[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6643515" createdVersion="5" refreshedVersion="8" minRefreshableVersion="3" recordCount="0" supportSubquery="1" supportAdvancedDrill="1" xr:uid="{06B32387-6920-40F0-8356-D0F8630BF67E}">
  <cacheSource type="external" connectionId="3"/>
  <cacheFields count="4">
    <cacheField name="[calende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7" level="32767"/>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993746990738" createdVersion="5" refreshedVersion="8" minRefreshableVersion="3" recordCount="0" supportSubquery="1" supportAdvancedDrill="1" xr:uid="{79195F60-3E60-43D6-BFC8-9A7DB96E4CA3}">
  <cacheSource type="external" connectionId="3"/>
  <cacheFields count="2">
    <cacheField name="[calender].[date (Month)].[date (Month)]" caption="date (Month)" numFmtId="0" hierarchy="1" level="1">
      <sharedItems containsSemiMixedTypes="0" containsNonDate="0" containsString="0"/>
    </cacheField>
    <cacheField name="[calender].[date (Year)].[date (Year)]" caption="date (Year)" numFmtId="0" hierarchy="3" level="1">
      <sharedItems count="1">
        <s v="2023"/>
      </sharedItems>
    </cacheField>
  </cacheFields>
  <cacheHierarchies count="39">
    <cacheHierarchy uniqueName="[calender].[date]" caption="date" attribute="1" time="1" defaultMemberUniqueName="[calender].[date].[All]" allUniqueName="[calender].[date].[All]" dimensionUniqueName="[calender]" displayFolder="" count="2"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Yadav" refreshedDate="46155.074861226851" createdVersion="3" refreshedVersion="8" minRefreshableVersion="3" recordCount="0" supportSubquery="1" supportAdvancedDrill="1" xr:uid="{05FE3A14-9B59-4614-8C83-4CC0F775600D}">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558488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73017D-C0FD-402F-940A-F70CCC38A09D}" name="PivotTable3" cacheId="3" applyNumberFormats="0" applyBorderFormats="0" applyFontFormats="0" applyPatternFormats="0" applyAlignmentFormats="0" applyWidthHeightFormats="1" dataCaption="Values" tag="08f7e8ce-d3cb-453d-af1d-2c3ba5e7e5e8" updatedVersion="8" minRefreshableVersion="3" subtotalHiddenItems="1" itemPrintTitles="1" createdVersion="5" indent="0" outline="1" outlineData="1" multipleFieldFilters="0" chartFormat="15">
  <location ref="A14:B44"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2"/>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0" subtotal="average" baseField="0" baseItem="0"/>
  </dataFields>
  <formats count="1">
    <format dxfId="0">
      <pivotArea outline="0" collapsedLevelsAreSubtotals="1" fieldPosition="0"/>
    </format>
  </formats>
  <chartFormats count="2">
    <chartFormat chart="6" format="7"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304C9A-760E-4C2A-8A8C-0DA903937724}" name="PivotTable10" cacheId="9"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location ref="A3:A4"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1" subtotal="average" baseField="0" baseItem="0"/>
  </dataFields>
  <formats count="1">
    <format dxfId="1">
      <pivotArea outline="0" collapsedLevelsAreSubtotals="1" fieldPosition="0"/>
    </format>
  </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667973-CEE0-4C73-9E39-F9FAE9B80759}" name="PivotTable14" cacheId="13"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chartFormat="16">
  <location ref="H101:H103"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2">
      <pivotArea outline="0" collapsedLevelsAreSubtotals="1" fieldPosition="0"/>
    </format>
  </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3BC9A-FB62-4418-A7CD-BF6D3863E198}" name="PivotTable6" cacheId="0" applyNumberFormats="0" applyBorderFormats="0" applyFontFormats="0" applyPatternFormats="0" applyAlignmentFormats="0" applyWidthHeightFormats="1" dataCaption="Values" tag="f40af97d-73b3-446c-81be-130bad6f6aec" updatedVersion="8" minRefreshableVersion="3" subtotalHiddenItems="1" itemPrintTitles="1" createdVersion="5" indent="0" outline="1" outlineData="1" multipleFieldFilters="0" chartFormat="14">
  <location ref="D7:E39"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3">
    <chartFormat chart="3" format="3"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37F903-AA06-4A2C-AB09-91E18519A9A7}" name="PivotTable11" cacheId="10"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chartFormat="10" rowHeaderCaption="C">
  <location ref="E83:F8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3">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caption="Count of Patient Age"/>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BE4389-4809-4F27-9333-4F1BC5F2DE0F}" name="PivotTable2" cacheId="2"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
      <pivotArea outline="0" collapsedLevelsAreSubtotals="1" fieldPosition="0"/>
    </format>
  </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432722-14AE-4CC4-AA7D-7F9473E193ED}" name="PivotTable12" cacheId="11"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chartFormat="14" rowHeaderCaption="C">
  <location ref="H86:I8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5">
      <pivotArea outline="0" collapsedLevelsAreSubtotals="1" fieldPosition="0"/>
    </format>
  </formats>
  <chartFormats count="5">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caption="Count of Patient Age"/>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A9CC90-C54D-48EC-A724-3DFC9BF6A18D}" name="PivotTable1" cacheId="1" applyNumberFormats="0" applyBorderFormats="0" applyFontFormats="0" applyPatternFormats="0" applyAlignmentFormats="0" applyWidthHeightFormats="1" dataCaption="Values" tag="a05573da-ef77-4b0a-9d0c-ff11f011f731"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B0CBCE-5715-4416-9B7D-174F874EBCB3}" name="PivotTable4" cacheId="4"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chartFormat="10">
  <location ref="H5:I37"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0" subtotal="average" baseField="0" baseItem="0" numFmtId="2"/>
  </dataFields>
  <formats count="1">
    <format dxfId="6">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22FEA1-8B5E-4B76-BF1A-93606951659C}" name="PivotTable9" cacheId="8"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chartFormat="5">
  <location ref="A78:B8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1"/>
  </dataFields>
  <formats count="2">
    <format dxfId="8">
      <pivotArea outline="0" collapsedLevelsAreSubtotals="1" fieldPosition="0"/>
    </format>
    <format dxfId="7">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02D688-14A4-46B0-B0D3-7179FBF4274B}" name="PivotTable5" cacheId="5"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location ref="A62:B6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t status" fld="1" subtotal="count" baseField="0" baseItem="0"/>
  </dataFields>
  <formats count="1">
    <format dxfId="9">
      <pivotArea outline="0" collapsedLevelsAreSubtotals="1" fieldPosition="0"/>
    </format>
  </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F3E66D-8D01-4B03-BB83-5A872B58FE50}" name="PivotTable7" cacheId="6"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location ref="C62:C6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5DB8E0-7E95-4B8D-8AE2-40407667CA67}" name="PivotTable8" cacheId="7"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chartFormat="1">
  <location ref="A67:B7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t status" fld="1" subtotal="count" showDataAs="percentOfTotal" baseField="0" baseItem="0" numFmtId="10"/>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6A18548-17D7-4636-971A-FE497882065F}" name="PivotTable13" cacheId="12" applyNumberFormats="0" applyBorderFormats="0" applyFontFormats="0" applyPatternFormats="0" applyAlignmentFormats="0" applyWidthHeightFormats="1" dataCaption="Values" tag="41cbd0de-2575-4d2f-a454-69aa50e856ad" updatedVersion="8" minRefreshableVersion="3" subtotalHiddenItems="1" itemPrintTitles="1" createdVersion="5" indent="0" outline="1" outlineData="1" multipleFieldFilters="0" chartFormat="16">
  <location ref="C97:D10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1">
    <format dxfId="13">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date (Month)].&amp;[Dec]"/>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D4071E8-0134-4EE1-A51A-C1D9736D8984}" sourceName="[calender].[date (Month)]">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s>
  <data>
    <olap pivotCacheId="1555848828">
      <levels count="2">
        <level uniqueName="[calender].[date (Month)].[(All)]" sourceCaption="(All)" count="0"/>
        <level uniqueName="[calender].[date (Month)].[date (Month)]" sourceCaption="date (Month)" count="12">
          <ranges>
            <range startItem="0">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i n="[calender].[date (Month)].&amp;[Jan]" c="Jan" nd="1"/>
              <i n="[calender].[date (Month)].&amp;[Feb]" c="Feb" nd="1"/>
              <i n="[calender].[date (Month)].&amp;[Mar]" c="Mar" nd="1"/>
            </range>
          </ranges>
        </level>
      </levels>
      <selections count="1">
        <selection n="[calender].[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6528090-997B-4EC6-9A19-95E9301C65BC}" sourceName="[calender].[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55848828">
      <levels count="2">
        <level uniqueName="[calender].[date (Year)].[(All)]" sourceCaption="(All)" count="0"/>
        <level uniqueName="[calender].[date (Year)].[date (Year)]" sourceCaption="date (Year)" count="2">
          <ranges>
            <range startItem="0">
              <i n="[calender].[date (Year)].&amp;[2023]" c="2023"/>
              <i n="[calender].[date (Year)].&amp;[2024]" c="2024" nd="1"/>
            </range>
          </ranges>
        </level>
      </levels>
      <selections count="1">
        <selection n="[calender].[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CB17C4E1-D095-47BA-9F04-27F70E59CFF4}" cache="Slicer_date__Year" caption="date (Year)" showCaption="0" level="1" style="myst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6F62425-4DFF-4BD7-A8D1-D6FBC3634A20}" cache="Slicer_date__Month" caption="date (Month)" showCaption="0" level="1" style="mystle" rowHeight="241300"/>
  <slicer name="date (Year) 1" xr10:uid="{746665C9-B2CC-4514-93AD-7B6FD89C81F2}" cache="Slicer_date__Year" caption="date (Year)" columnCount="2" showCaption="0" level="1" style="myst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05B12-2612-4987-B237-9E8DF620BC12}">
  <dimension ref="A3:I106"/>
  <sheetViews>
    <sheetView topLeftCell="A94" workbookViewId="0">
      <selection activeCell="H101" sqref="H101"/>
    </sheetView>
  </sheetViews>
  <sheetFormatPr defaultRowHeight="14.5" x14ac:dyDescent="0.35"/>
  <cols>
    <col min="1" max="1" width="15.26953125" customWidth="1"/>
    <col min="2" max="2" width="8.36328125" customWidth="1"/>
    <col min="3" max="3" width="10.1796875" customWidth="1"/>
    <col min="4" max="4" width="21.54296875" customWidth="1"/>
    <col min="5" max="5" width="21" customWidth="1"/>
    <col min="8" max="8" width="24.81640625" bestFit="1" customWidth="1"/>
  </cols>
  <sheetData>
    <row r="3" spans="1:9" x14ac:dyDescent="0.35">
      <c r="A3" t="s">
        <v>2</v>
      </c>
    </row>
    <row r="4" spans="1:9" x14ac:dyDescent="0.35">
      <c r="A4" s="1">
        <v>4.6821705426356592</v>
      </c>
    </row>
    <row r="5" spans="1:9" x14ac:dyDescent="0.35">
      <c r="H5" s="2" t="s">
        <v>4</v>
      </c>
      <c r="I5" t="s">
        <v>1</v>
      </c>
    </row>
    <row r="6" spans="1:9" x14ac:dyDescent="0.35">
      <c r="A6" t="s">
        <v>0</v>
      </c>
      <c r="H6" s="3" t="s">
        <v>36</v>
      </c>
      <c r="I6" s="1">
        <v>34.5</v>
      </c>
    </row>
    <row r="7" spans="1:9" x14ac:dyDescent="0.35">
      <c r="A7">
        <v>489</v>
      </c>
      <c r="D7" s="2" t="s">
        <v>4</v>
      </c>
      <c r="E7" t="s">
        <v>0</v>
      </c>
      <c r="H7" s="3" t="s">
        <v>37</v>
      </c>
      <c r="I7" s="1">
        <v>35.4</v>
      </c>
    </row>
    <row r="8" spans="1:9" x14ac:dyDescent="0.35">
      <c r="D8" s="3" t="s">
        <v>36</v>
      </c>
      <c r="E8">
        <v>16</v>
      </c>
      <c r="H8" s="3" t="s">
        <v>38</v>
      </c>
      <c r="I8" s="1">
        <v>34.928571428571431</v>
      </c>
    </row>
    <row r="9" spans="1:9" x14ac:dyDescent="0.35">
      <c r="A9" t="s">
        <v>1</v>
      </c>
      <c r="D9" s="3" t="s">
        <v>37</v>
      </c>
      <c r="E9">
        <v>15</v>
      </c>
      <c r="H9" s="3" t="s">
        <v>39</v>
      </c>
      <c r="I9" s="1">
        <v>44.25</v>
      </c>
    </row>
    <row r="10" spans="1:9" x14ac:dyDescent="0.35">
      <c r="A10" s="1">
        <v>34.764826175869118</v>
      </c>
      <c r="B10" s="1"/>
      <c r="D10" s="3" t="s">
        <v>38</v>
      </c>
      <c r="E10">
        <v>14</v>
      </c>
      <c r="H10" s="3" t="s">
        <v>40</v>
      </c>
      <c r="I10" s="1">
        <v>40.1875</v>
      </c>
    </row>
    <row r="11" spans="1:9" x14ac:dyDescent="0.35">
      <c r="D11" s="3" t="s">
        <v>39</v>
      </c>
      <c r="E11">
        <v>12</v>
      </c>
      <c r="H11" s="3" t="s">
        <v>41</v>
      </c>
      <c r="I11" s="1">
        <v>35</v>
      </c>
    </row>
    <row r="12" spans="1:9" x14ac:dyDescent="0.35">
      <c r="D12" s="3" t="s">
        <v>40</v>
      </c>
      <c r="E12">
        <v>16</v>
      </c>
      <c r="H12" s="3" t="s">
        <v>42</v>
      </c>
      <c r="I12" s="1">
        <v>43.142857142857146</v>
      </c>
    </row>
    <row r="13" spans="1:9" x14ac:dyDescent="0.35">
      <c r="D13" s="3" t="s">
        <v>41</v>
      </c>
      <c r="E13">
        <v>11</v>
      </c>
      <c r="H13" s="3" t="s">
        <v>43</v>
      </c>
      <c r="I13" s="1">
        <v>43.6875</v>
      </c>
    </row>
    <row r="14" spans="1:9" x14ac:dyDescent="0.35">
      <c r="A14" s="2" t="s">
        <v>4</v>
      </c>
      <c r="B14" t="s">
        <v>2</v>
      </c>
      <c r="D14" s="3" t="s">
        <v>42</v>
      </c>
      <c r="E14">
        <v>7</v>
      </c>
      <c r="H14" s="3" t="s">
        <v>44</v>
      </c>
      <c r="I14" s="1">
        <v>33.857142857142854</v>
      </c>
    </row>
    <row r="15" spans="1:9" x14ac:dyDescent="0.35">
      <c r="A15" s="3" t="s">
        <v>36</v>
      </c>
      <c r="B15" s="1">
        <v>9</v>
      </c>
      <c r="D15" s="3" t="s">
        <v>43</v>
      </c>
      <c r="E15">
        <v>16</v>
      </c>
      <c r="H15" s="3" t="s">
        <v>45</v>
      </c>
      <c r="I15" s="1">
        <v>40.1875</v>
      </c>
    </row>
    <row r="16" spans="1:9" x14ac:dyDescent="0.35">
      <c r="A16" s="3" t="s">
        <v>37</v>
      </c>
      <c r="B16" s="1">
        <v>4.4000000000000004</v>
      </c>
      <c r="D16" s="3" t="s">
        <v>44</v>
      </c>
      <c r="E16">
        <v>7</v>
      </c>
      <c r="H16" s="3" t="s">
        <v>46</v>
      </c>
      <c r="I16" s="1">
        <v>34.9375</v>
      </c>
    </row>
    <row r="17" spans="1:9" x14ac:dyDescent="0.35">
      <c r="A17" s="3" t="s">
        <v>38</v>
      </c>
      <c r="B17" s="1">
        <v>4</v>
      </c>
      <c r="D17" s="3" t="s">
        <v>45</v>
      </c>
      <c r="E17">
        <v>16</v>
      </c>
      <c r="H17" s="3" t="s">
        <v>47</v>
      </c>
      <c r="I17" s="1">
        <v>28.684210526315791</v>
      </c>
    </row>
    <row r="18" spans="1:9" x14ac:dyDescent="0.35">
      <c r="A18" s="3" t="s">
        <v>39</v>
      </c>
      <c r="B18" s="1">
        <v>0</v>
      </c>
      <c r="D18" s="3" t="s">
        <v>46</v>
      </c>
      <c r="E18">
        <v>16</v>
      </c>
      <c r="H18" s="3" t="s">
        <v>48</v>
      </c>
      <c r="I18" s="1">
        <v>25</v>
      </c>
    </row>
    <row r="19" spans="1:9" x14ac:dyDescent="0.35">
      <c r="A19" s="3" t="s">
        <v>40</v>
      </c>
      <c r="B19" s="1">
        <v>2.875</v>
      </c>
      <c r="D19" s="3" t="s">
        <v>47</v>
      </c>
      <c r="E19">
        <v>19</v>
      </c>
      <c r="H19" s="3" t="s">
        <v>49</v>
      </c>
      <c r="I19" s="1">
        <v>35.46153846153846</v>
      </c>
    </row>
    <row r="20" spans="1:9" x14ac:dyDescent="0.35">
      <c r="A20" s="3" t="s">
        <v>41</v>
      </c>
      <c r="B20" s="1">
        <v>5.25</v>
      </c>
      <c r="D20" s="3" t="s">
        <v>48</v>
      </c>
      <c r="E20">
        <v>10</v>
      </c>
      <c r="H20" s="3" t="s">
        <v>50</v>
      </c>
      <c r="I20" s="1">
        <v>33.814814814814817</v>
      </c>
    </row>
    <row r="21" spans="1:9" x14ac:dyDescent="0.35">
      <c r="A21" s="3" t="s">
        <v>43</v>
      </c>
      <c r="B21" s="1">
        <v>6</v>
      </c>
      <c r="D21" s="3" t="s">
        <v>49</v>
      </c>
      <c r="E21">
        <v>13</v>
      </c>
      <c r="H21" s="3" t="s">
        <v>51</v>
      </c>
      <c r="I21" s="1">
        <v>33.631578947368418</v>
      </c>
    </row>
    <row r="22" spans="1:9" x14ac:dyDescent="0.35">
      <c r="A22" s="3" t="s">
        <v>44</v>
      </c>
      <c r="B22" s="1">
        <v>6.5</v>
      </c>
      <c r="D22" s="3" t="s">
        <v>50</v>
      </c>
      <c r="E22">
        <v>27</v>
      </c>
      <c r="H22" s="3" t="s">
        <v>52</v>
      </c>
      <c r="I22" s="1">
        <v>36.611111111111114</v>
      </c>
    </row>
    <row r="23" spans="1:9" x14ac:dyDescent="0.35">
      <c r="A23" s="3" t="s">
        <v>45</v>
      </c>
      <c r="B23" s="1">
        <v>5.5</v>
      </c>
      <c r="D23" s="3" t="s">
        <v>51</v>
      </c>
      <c r="E23">
        <v>19</v>
      </c>
      <c r="H23" s="3" t="s">
        <v>53</v>
      </c>
      <c r="I23" s="1">
        <v>30.5</v>
      </c>
    </row>
    <row r="24" spans="1:9" x14ac:dyDescent="0.35">
      <c r="A24" s="3" t="s">
        <v>46</v>
      </c>
      <c r="B24" s="1">
        <v>5.666666666666667</v>
      </c>
      <c r="D24" s="3" t="s">
        <v>52</v>
      </c>
      <c r="E24">
        <v>18</v>
      </c>
      <c r="H24" s="3" t="s">
        <v>54</v>
      </c>
      <c r="I24" s="1">
        <v>33.6</v>
      </c>
    </row>
    <row r="25" spans="1:9" x14ac:dyDescent="0.35">
      <c r="A25" s="3" t="s">
        <v>47</v>
      </c>
      <c r="B25" s="1">
        <v>5.25</v>
      </c>
      <c r="D25" s="3" t="s">
        <v>53</v>
      </c>
      <c r="E25">
        <v>12</v>
      </c>
      <c r="H25" s="3" t="s">
        <v>55</v>
      </c>
      <c r="I25" s="1">
        <v>26.75</v>
      </c>
    </row>
    <row r="26" spans="1:9" x14ac:dyDescent="0.35">
      <c r="A26" s="3" t="s">
        <v>48</v>
      </c>
      <c r="B26" s="1">
        <v>7.25</v>
      </c>
      <c r="D26" s="3" t="s">
        <v>54</v>
      </c>
      <c r="E26">
        <v>20</v>
      </c>
      <c r="H26" s="3" t="s">
        <v>56</v>
      </c>
      <c r="I26" s="1">
        <v>37.684210526315788</v>
      </c>
    </row>
    <row r="27" spans="1:9" x14ac:dyDescent="0.35">
      <c r="A27" s="3" t="s">
        <v>49</v>
      </c>
      <c r="B27" s="1">
        <v>6</v>
      </c>
      <c r="D27" s="3" t="s">
        <v>55</v>
      </c>
      <c r="E27">
        <v>12</v>
      </c>
      <c r="H27" s="3" t="s">
        <v>57</v>
      </c>
      <c r="I27" s="1">
        <v>36.611111111111114</v>
      </c>
    </row>
    <row r="28" spans="1:9" x14ac:dyDescent="0.35">
      <c r="A28" s="3" t="s">
        <v>50</v>
      </c>
      <c r="B28" s="1">
        <v>4.5999999999999996</v>
      </c>
      <c r="D28" s="3" t="s">
        <v>56</v>
      </c>
      <c r="E28">
        <v>19</v>
      </c>
      <c r="H28" s="3" t="s">
        <v>58</v>
      </c>
      <c r="I28" s="1">
        <v>35.428571428571431</v>
      </c>
    </row>
    <row r="29" spans="1:9" x14ac:dyDescent="0.35">
      <c r="A29" s="3" t="s">
        <v>51</v>
      </c>
      <c r="B29" s="1">
        <v>8</v>
      </c>
      <c r="D29" s="3" t="s">
        <v>57</v>
      </c>
      <c r="E29">
        <v>18</v>
      </c>
      <c r="H29" s="3" t="s">
        <v>59</v>
      </c>
      <c r="I29" s="1">
        <v>31.944444444444443</v>
      </c>
    </row>
    <row r="30" spans="1:9" x14ac:dyDescent="0.35">
      <c r="A30" s="3" t="s">
        <v>52</v>
      </c>
      <c r="B30" s="1">
        <v>3.6666666666666665</v>
      </c>
      <c r="D30" s="3" t="s">
        <v>58</v>
      </c>
      <c r="E30">
        <v>21</v>
      </c>
      <c r="H30" s="3" t="s">
        <v>60</v>
      </c>
      <c r="I30" s="1">
        <v>31.875</v>
      </c>
    </row>
    <row r="31" spans="1:9" x14ac:dyDescent="0.35">
      <c r="A31" s="3" t="s">
        <v>53</v>
      </c>
      <c r="B31" s="1">
        <v>2.4285714285714284</v>
      </c>
      <c r="D31" s="3" t="s">
        <v>59</v>
      </c>
      <c r="E31">
        <v>18</v>
      </c>
      <c r="H31" s="3" t="s">
        <v>61</v>
      </c>
      <c r="I31" s="1">
        <v>28.642857142857142</v>
      </c>
    </row>
    <row r="32" spans="1:9" x14ac:dyDescent="0.35">
      <c r="A32" s="3" t="s">
        <v>54</v>
      </c>
      <c r="B32" s="1">
        <v>9</v>
      </c>
      <c r="D32" s="3" t="s">
        <v>60</v>
      </c>
      <c r="E32">
        <v>16</v>
      </c>
      <c r="H32" s="3" t="s">
        <v>62</v>
      </c>
      <c r="I32" s="1">
        <v>39.214285714285715</v>
      </c>
    </row>
    <row r="33" spans="1:9" x14ac:dyDescent="0.35">
      <c r="A33" s="3" t="s">
        <v>55</v>
      </c>
      <c r="B33" s="1">
        <v>6</v>
      </c>
      <c r="D33" s="3" t="s">
        <v>61</v>
      </c>
      <c r="E33">
        <v>14</v>
      </c>
      <c r="H33" s="3" t="s">
        <v>63</v>
      </c>
      <c r="I33" s="1">
        <v>32.0625</v>
      </c>
    </row>
    <row r="34" spans="1:9" x14ac:dyDescent="0.35">
      <c r="A34" s="3" t="s">
        <v>56</v>
      </c>
      <c r="B34" s="1">
        <v>4</v>
      </c>
      <c r="D34" s="3" t="s">
        <v>62</v>
      </c>
      <c r="E34">
        <v>14</v>
      </c>
      <c r="H34" s="3" t="s">
        <v>64</v>
      </c>
      <c r="I34" s="1">
        <v>28.285714285714285</v>
      </c>
    </row>
    <row r="35" spans="1:9" x14ac:dyDescent="0.35">
      <c r="A35" s="3" t="s">
        <v>57</v>
      </c>
      <c r="B35" s="1">
        <v>4.833333333333333</v>
      </c>
      <c r="D35" s="3" t="s">
        <v>63</v>
      </c>
      <c r="E35">
        <v>16</v>
      </c>
      <c r="H35" s="3" t="s">
        <v>65</v>
      </c>
      <c r="I35" s="1">
        <v>35.476190476190474</v>
      </c>
    </row>
    <row r="36" spans="1:9" x14ac:dyDescent="0.35">
      <c r="A36" s="3" t="s">
        <v>58</v>
      </c>
      <c r="B36" s="1">
        <v>3.6</v>
      </c>
      <c r="D36" s="3" t="s">
        <v>64</v>
      </c>
      <c r="E36">
        <v>21</v>
      </c>
      <c r="H36" s="3" t="s">
        <v>66</v>
      </c>
      <c r="I36" s="1">
        <v>39.799999999999997</v>
      </c>
    </row>
    <row r="37" spans="1:9" x14ac:dyDescent="0.35">
      <c r="A37" s="3" t="s">
        <v>59</v>
      </c>
      <c r="B37" s="1">
        <v>5</v>
      </c>
      <c r="D37" s="3" t="s">
        <v>65</v>
      </c>
      <c r="E37">
        <v>21</v>
      </c>
      <c r="H37" s="3" t="s">
        <v>3</v>
      </c>
      <c r="I37" s="1">
        <v>34.764826175869118</v>
      </c>
    </row>
    <row r="38" spans="1:9" x14ac:dyDescent="0.35">
      <c r="A38" s="3" t="s">
        <v>60</v>
      </c>
      <c r="B38" s="1">
        <v>5.25</v>
      </c>
      <c r="D38" s="3" t="s">
        <v>66</v>
      </c>
      <c r="E38">
        <v>15</v>
      </c>
    </row>
    <row r="39" spans="1:9" x14ac:dyDescent="0.35">
      <c r="A39" s="3" t="s">
        <v>61</v>
      </c>
      <c r="B39" s="1">
        <v>3.2</v>
      </c>
      <c r="D39" s="3" t="s">
        <v>3</v>
      </c>
      <c r="E39">
        <v>489</v>
      </c>
    </row>
    <row r="40" spans="1:9" x14ac:dyDescent="0.35">
      <c r="A40" s="3" t="s">
        <v>62</v>
      </c>
      <c r="B40" s="1">
        <v>5.5</v>
      </c>
    </row>
    <row r="41" spans="1:9" x14ac:dyDescent="0.35">
      <c r="A41" s="3" t="s">
        <v>63</v>
      </c>
      <c r="B41" s="1">
        <v>3</v>
      </c>
    </row>
    <row r="42" spans="1:9" x14ac:dyDescent="0.35">
      <c r="A42" s="3" t="s">
        <v>64</v>
      </c>
      <c r="B42" s="1">
        <v>3.9090909090909092</v>
      </c>
    </row>
    <row r="43" spans="1:9" x14ac:dyDescent="0.35">
      <c r="A43" s="3" t="s">
        <v>65</v>
      </c>
      <c r="B43" s="1">
        <v>2.6666666666666665</v>
      </c>
    </row>
    <row r="44" spans="1:9" x14ac:dyDescent="0.35">
      <c r="A44" s="3" t="s">
        <v>3</v>
      </c>
      <c r="B44" s="1">
        <v>4.6821705426356592</v>
      </c>
    </row>
    <row r="47" spans="1:9" x14ac:dyDescent="0.35">
      <c r="D47" s="4"/>
    </row>
    <row r="50" spans="1:3" x14ac:dyDescent="0.35">
      <c r="A50" s="4"/>
    </row>
    <row r="62" spans="1:3" x14ac:dyDescent="0.35">
      <c r="A62" s="2" t="s">
        <v>4</v>
      </c>
      <c r="B62" t="s">
        <v>7</v>
      </c>
      <c r="C62" t="s">
        <v>1</v>
      </c>
    </row>
    <row r="63" spans="1:3" x14ac:dyDescent="0.35">
      <c r="A63" s="3" t="s">
        <v>8</v>
      </c>
      <c r="B63" s="1">
        <v>250</v>
      </c>
      <c r="C63" s="1">
        <v>34.764826175869118</v>
      </c>
    </row>
    <row r="64" spans="1:3" x14ac:dyDescent="0.35">
      <c r="A64" s="3" t="s">
        <v>9</v>
      </c>
      <c r="B64" s="1">
        <v>239</v>
      </c>
    </row>
    <row r="65" spans="1:4" x14ac:dyDescent="0.35">
      <c r="A65" s="3" t="s">
        <v>3</v>
      </c>
      <c r="B65" s="1">
        <v>489</v>
      </c>
    </row>
    <row r="67" spans="1:4" x14ac:dyDescent="0.35">
      <c r="A67" s="2" t="s">
        <v>4</v>
      </c>
      <c r="B67" t="s">
        <v>7</v>
      </c>
    </row>
    <row r="68" spans="1:4" x14ac:dyDescent="0.35">
      <c r="A68" s="3" t="s">
        <v>8</v>
      </c>
      <c r="B68" s="6">
        <v>0.5112474437627812</v>
      </c>
    </row>
    <row r="69" spans="1:4" x14ac:dyDescent="0.35">
      <c r="A69" s="3" t="s">
        <v>9</v>
      </c>
      <c r="B69" s="6">
        <v>0.4887525562372188</v>
      </c>
    </row>
    <row r="70" spans="1:4" x14ac:dyDescent="0.35">
      <c r="A70" s="3" t="s">
        <v>3</v>
      </c>
      <c r="B70" s="6">
        <v>1</v>
      </c>
    </row>
    <row r="74" spans="1:4" x14ac:dyDescent="0.35">
      <c r="A74" s="7" t="s">
        <v>10</v>
      </c>
      <c r="B74" s="7" t="s">
        <v>11</v>
      </c>
      <c r="C74" s="7" t="s">
        <v>12</v>
      </c>
      <c r="D74" s="7"/>
    </row>
    <row r="75" spans="1:4" x14ac:dyDescent="0.35">
      <c r="A75" s="8" t="str">
        <f>A69</f>
        <v>not admitted</v>
      </c>
      <c r="B75" s="9">
        <f>B64</f>
        <v>239</v>
      </c>
      <c r="C75" s="10">
        <f>B69</f>
        <v>0.4887525562372188</v>
      </c>
      <c r="D75" s="8"/>
    </row>
    <row r="76" spans="1:4" x14ac:dyDescent="0.35">
      <c r="A76" s="8" t="str">
        <f>A68</f>
        <v>admitted</v>
      </c>
      <c r="B76" s="9">
        <f>B63</f>
        <v>250</v>
      </c>
      <c r="C76" s="10">
        <f>B68</f>
        <v>0.5112474437627812</v>
      </c>
      <c r="D76" s="8"/>
    </row>
    <row r="78" spans="1:4" x14ac:dyDescent="0.35">
      <c r="A78" s="2" t="s">
        <v>4</v>
      </c>
      <c r="B78" t="s">
        <v>21</v>
      </c>
    </row>
    <row r="79" spans="1:4" x14ac:dyDescent="0.35">
      <c r="A79" s="3" t="s">
        <v>13</v>
      </c>
      <c r="B79" s="11">
        <v>49</v>
      </c>
    </row>
    <row r="80" spans="1:4" x14ac:dyDescent="0.35">
      <c r="A80" s="3" t="s">
        <v>14</v>
      </c>
      <c r="B80" s="11">
        <v>56</v>
      </c>
    </row>
    <row r="81" spans="1:9" x14ac:dyDescent="0.35">
      <c r="A81" s="3" t="s">
        <v>15</v>
      </c>
      <c r="B81" s="11">
        <v>71</v>
      </c>
    </row>
    <row r="82" spans="1:9" x14ac:dyDescent="0.35">
      <c r="A82" s="3" t="s">
        <v>16</v>
      </c>
      <c r="B82" s="11">
        <v>72</v>
      </c>
    </row>
    <row r="83" spans="1:9" x14ac:dyDescent="0.35">
      <c r="A83" s="3" t="s">
        <v>17</v>
      </c>
      <c r="B83" s="11">
        <v>64</v>
      </c>
      <c r="E83" s="2" t="s">
        <v>24</v>
      </c>
      <c r="F83" t="s">
        <v>0</v>
      </c>
    </row>
    <row r="84" spans="1:9" x14ac:dyDescent="0.35">
      <c r="A84" s="3" t="s">
        <v>18</v>
      </c>
      <c r="B84" s="11">
        <v>60</v>
      </c>
      <c r="E84" s="3" t="s">
        <v>5</v>
      </c>
      <c r="F84" s="1">
        <v>286</v>
      </c>
    </row>
    <row r="85" spans="1:9" x14ac:dyDescent="0.35">
      <c r="A85" s="3" t="s">
        <v>19</v>
      </c>
      <c r="B85" s="11">
        <v>64</v>
      </c>
      <c r="E85" s="3" t="s">
        <v>6</v>
      </c>
      <c r="F85" s="1">
        <v>203</v>
      </c>
    </row>
    <row r="86" spans="1:9" x14ac:dyDescent="0.35">
      <c r="A86" s="3" t="s">
        <v>20</v>
      </c>
      <c r="B86" s="11">
        <v>53</v>
      </c>
      <c r="E86" s="3" t="s">
        <v>3</v>
      </c>
      <c r="F86" s="1">
        <v>489</v>
      </c>
      <c r="H86" s="2" t="s">
        <v>24</v>
      </c>
      <c r="I86" t="s">
        <v>0</v>
      </c>
    </row>
    <row r="87" spans="1:9" x14ac:dyDescent="0.35">
      <c r="A87" s="3" t="s">
        <v>3</v>
      </c>
      <c r="B87" s="1">
        <v>489</v>
      </c>
      <c r="H87" s="3" t="s">
        <v>22</v>
      </c>
      <c r="I87" s="1">
        <v>240</v>
      </c>
    </row>
    <row r="88" spans="1:9" x14ac:dyDescent="0.35">
      <c r="H88" s="3" t="s">
        <v>23</v>
      </c>
      <c r="I88" s="1">
        <v>249</v>
      </c>
    </row>
    <row r="89" spans="1:9" x14ac:dyDescent="0.35">
      <c r="H89" s="3" t="s">
        <v>3</v>
      </c>
      <c r="I89" s="1">
        <v>489</v>
      </c>
    </row>
    <row r="90" spans="1:9" x14ac:dyDescent="0.35">
      <c r="D90" t="s">
        <v>25</v>
      </c>
    </row>
    <row r="97" spans="3:8" x14ac:dyDescent="0.35">
      <c r="C97" s="2" t="s">
        <v>4</v>
      </c>
      <c r="D97" t="s">
        <v>34</v>
      </c>
    </row>
    <row r="98" spans="3:8" x14ac:dyDescent="0.35">
      <c r="C98" s="3" t="s">
        <v>26</v>
      </c>
      <c r="D98" s="1">
        <v>18</v>
      </c>
    </row>
    <row r="99" spans="3:8" x14ac:dyDescent="0.35">
      <c r="C99" s="3" t="s">
        <v>27</v>
      </c>
      <c r="D99" s="1">
        <v>8</v>
      </c>
    </row>
    <row r="100" spans="3:8" x14ac:dyDescent="0.35">
      <c r="C100" s="3" t="s">
        <v>28</v>
      </c>
      <c r="D100" s="1">
        <v>110</v>
      </c>
    </row>
    <row r="101" spans="3:8" x14ac:dyDescent="0.35">
      <c r="C101" s="3" t="s">
        <v>29</v>
      </c>
      <c r="D101" s="1">
        <v>11</v>
      </c>
      <c r="H101" s="2" t="s">
        <v>4</v>
      </c>
    </row>
    <row r="102" spans="3:8" x14ac:dyDescent="0.35">
      <c r="C102" s="3" t="s">
        <v>30</v>
      </c>
      <c r="D102" s="1">
        <v>278</v>
      </c>
      <c r="H102" s="3" t="s">
        <v>35</v>
      </c>
    </row>
    <row r="103" spans="3:8" x14ac:dyDescent="0.35">
      <c r="C103" s="3" t="s">
        <v>31</v>
      </c>
      <c r="D103" s="1">
        <v>44</v>
      </c>
      <c r="H103" s="3" t="s">
        <v>3</v>
      </c>
    </row>
    <row r="104" spans="3:8" x14ac:dyDescent="0.35">
      <c r="C104" s="3" t="s">
        <v>32</v>
      </c>
      <c r="D104" s="1">
        <v>12</v>
      </c>
    </row>
    <row r="105" spans="3:8" x14ac:dyDescent="0.35">
      <c r="C105" s="3" t="s">
        <v>33</v>
      </c>
      <c r="D105" s="1">
        <v>8</v>
      </c>
    </row>
    <row r="106" spans="3:8" x14ac:dyDescent="0.35">
      <c r="C106" s="3" t="s">
        <v>3</v>
      </c>
      <c r="D106" s="1">
        <v>489</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A769-F528-4C0A-AE82-82B7A81E2805}">
  <dimension ref="A1"/>
  <sheetViews>
    <sheetView topLeftCell="A13"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64AB-6B13-4199-B4FD-3506D1368FFD}">
  <dimension ref="A1"/>
  <sheetViews>
    <sheetView tabSelected="1" zoomScale="92" zoomScaleNormal="92" workbookViewId="0">
      <selection activeCell="T12" sqref="T12"/>
    </sheetView>
  </sheetViews>
  <sheetFormatPr defaultRowHeight="14.5" x14ac:dyDescent="0.3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A2CD8-C8F1-4DCE-97EB-B9C677DCE5EC}">
  <dimension ref="A2:M20"/>
  <sheetViews>
    <sheetView workbookViewId="0"/>
  </sheetViews>
  <sheetFormatPr defaultRowHeight="14.5" x14ac:dyDescent="0.35"/>
  <sheetData>
    <row r="2" spans="1:13" x14ac:dyDescent="0.35">
      <c r="A2" s="5"/>
      <c r="B2" s="5"/>
      <c r="C2" s="5"/>
      <c r="D2" s="5"/>
      <c r="E2" s="5"/>
      <c r="F2" s="5"/>
      <c r="G2" s="5"/>
      <c r="H2" s="5"/>
      <c r="I2" s="5"/>
      <c r="J2" s="5"/>
      <c r="K2" s="5"/>
      <c r="L2" s="5"/>
      <c r="M2" s="5"/>
    </row>
    <row r="3" spans="1:13" x14ac:dyDescent="0.35">
      <c r="A3" s="5"/>
      <c r="B3" s="5"/>
      <c r="C3" s="5"/>
      <c r="D3" s="5"/>
      <c r="E3" s="5"/>
      <c r="F3" s="5"/>
      <c r="G3" s="5"/>
      <c r="H3" s="5"/>
      <c r="I3" s="5"/>
      <c r="J3" s="5"/>
      <c r="K3" s="5"/>
      <c r="L3" s="5"/>
      <c r="M3" s="5"/>
    </row>
    <row r="4" spans="1:13" x14ac:dyDescent="0.35">
      <c r="A4" s="5"/>
      <c r="B4" s="5"/>
      <c r="C4" s="5"/>
      <c r="D4" s="5"/>
      <c r="E4" s="5"/>
      <c r="F4" s="5"/>
      <c r="G4" s="5"/>
      <c r="H4" s="5"/>
      <c r="I4" s="5"/>
      <c r="J4" s="5"/>
      <c r="K4" s="5"/>
      <c r="L4" s="5"/>
      <c r="M4" s="5"/>
    </row>
    <row r="5" spans="1:13" x14ac:dyDescent="0.35">
      <c r="A5" s="5"/>
      <c r="B5" s="5"/>
      <c r="C5" s="5"/>
      <c r="D5" s="5"/>
      <c r="E5" s="5"/>
      <c r="F5" s="5"/>
      <c r="G5" s="5"/>
      <c r="H5" s="5"/>
      <c r="I5" s="5"/>
      <c r="J5" s="5"/>
      <c r="K5" s="5"/>
      <c r="L5" s="5"/>
      <c r="M5" s="5"/>
    </row>
    <row r="6" spans="1:13" x14ac:dyDescent="0.35">
      <c r="A6" s="5"/>
      <c r="B6" s="5"/>
      <c r="C6" s="5"/>
      <c r="D6" s="5"/>
      <c r="E6" s="5"/>
      <c r="F6" s="5"/>
      <c r="G6" s="5"/>
      <c r="H6" s="5"/>
      <c r="I6" s="5"/>
      <c r="J6" s="5"/>
      <c r="K6" s="5"/>
      <c r="L6" s="5"/>
      <c r="M6" s="5"/>
    </row>
    <row r="7" spans="1:13" x14ac:dyDescent="0.35">
      <c r="A7" s="5"/>
      <c r="B7" s="5"/>
      <c r="C7" s="5"/>
      <c r="D7" s="5"/>
      <c r="E7" s="5"/>
      <c r="F7" s="5"/>
      <c r="G7" s="5"/>
      <c r="H7" s="5"/>
      <c r="I7" s="5"/>
      <c r="J7" s="5"/>
      <c r="K7" s="5"/>
      <c r="L7" s="5"/>
      <c r="M7" s="5"/>
    </row>
    <row r="8" spans="1:13" x14ac:dyDescent="0.35">
      <c r="A8" s="5"/>
      <c r="B8" s="5"/>
      <c r="C8" s="5"/>
      <c r="D8" s="5"/>
      <c r="E8" s="5"/>
      <c r="F8" s="5"/>
      <c r="G8" s="5"/>
      <c r="H8" s="5"/>
      <c r="I8" s="5"/>
      <c r="J8" s="5"/>
      <c r="K8" s="5"/>
      <c r="L8" s="5"/>
      <c r="M8" s="5"/>
    </row>
    <row r="9" spans="1:13" x14ac:dyDescent="0.35">
      <c r="A9" s="5"/>
      <c r="B9" s="5"/>
      <c r="C9" s="5"/>
      <c r="D9" s="5"/>
      <c r="E9" s="5"/>
      <c r="F9" s="5"/>
      <c r="G9" s="5"/>
      <c r="H9" s="5"/>
      <c r="I9" s="5"/>
      <c r="J9" s="5"/>
      <c r="K9" s="5"/>
      <c r="L9" s="5"/>
      <c r="M9" s="5"/>
    </row>
    <row r="10" spans="1:13" x14ac:dyDescent="0.35">
      <c r="A10" s="5"/>
      <c r="B10" s="5"/>
      <c r="C10" s="5"/>
      <c r="D10" s="5"/>
      <c r="E10" s="5"/>
      <c r="F10" s="5"/>
      <c r="G10" s="5"/>
      <c r="H10" s="5"/>
      <c r="I10" s="5"/>
      <c r="J10" s="5"/>
      <c r="K10" s="5"/>
      <c r="L10" s="5"/>
      <c r="M10" s="5"/>
    </row>
    <row r="11" spans="1:13" x14ac:dyDescent="0.35">
      <c r="A11" s="5"/>
      <c r="B11" s="5"/>
      <c r="C11" s="5"/>
      <c r="D11" s="5"/>
      <c r="E11" s="5"/>
      <c r="F11" s="5"/>
      <c r="G11" s="5"/>
      <c r="H11" s="5"/>
      <c r="I11" s="5"/>
      <c r="J11" s="5"/>
      <c r="K11" s="5"/>
      <c r="L11" s="5"/>
      <c r="M11" s="5"/>
    </row>
    <row r="12" spans="1:13" x14ac:dyDescent="0.35">
      <c r="A12" s="5"/>
      <c r="B12" s="5"/>
      <c r="C12" s="5"/>
      <c r="D12" s="5"/>
      <c r="E12" s="5"/>
      <c r="F12" s="5"/>
      <c r="G12" s="5"/>
      <c r="H12" s="5"/>
      <c r="I12" s="5"/>
      <c r="J12" s="5"/>
      <c r="K12" s="5"/>
      <c r="L12" s="5"/>
      <c r="M12" s="5"/>
    </row>
    <row r="13" spans="1:13" x14ac:dyDescent="0.35">
      <c r="A13" s="5"/>
      <c r="B13" s="5"/>
      <c r="C13" s="5"/>
      <c r="D13" s="5"/>
      <c r="E13" s="5"/>
      <c r="F13" s="5"/>
      <c r="G13" s="5"/>
      <c r="H13" s="5"/>
      <c r="I13" s="5"/>
      <c r="J13" s="5"/>
      <c r="K13" s="5"/>
      <c r="L13" s="5"/>
      <c r="M13" s="5"/>
    </row>
    <row r="14" spans="1:13" x14ac:dyDescent="0.35">
      <c r="A14" s="5"/>
      <c r="B14" s="5"/>
      <c r="C14" s="5"/>
      <c r="D14" s="5"/>
      <c r="E14" s="5"/>
      <c r="F14" s="5"/>
      <c r="G14" s="5"/>
      <c r="H14" s="5"/>
      <c r="I14" s="5"/>
      <c r="J14" s="5"/>
      <c r="K14" s="5"/>
      <c r="L14" s="5"/>
      <c r="M14" s="5"/>
    </row>
    <row r="15" spans="1:13" x14ac:dyDescent="0.35">
      <c r="A15" s="5"/>
      <c r="B15" s="5"/>
      <c r="C15" s="5"/>
      <c r="D15" s="5"/>
      <c r="E15" s="5"/>
      <c r="F15" s="5"/>
      <c r="G15" s="5"/>
      <c r="H15" s="5"/>
      <c r="I15" s="5"/>
      <c r="J15" s="5"/>
      <c r="K15" s="5"/>
      <c r="L15" s="5"/>
      <c r="M15" s="5"/>
    </row>
    <row r="16" spans="1:13" x14ac:dyDescent="0.35">
      <c r="A16" s="5"/>
      <c r="B16" s="5"/>
      <c r="C16" s="5"/>
      <c r="D16" s="5"/>
      <c r="E16" s="5"/>
      <c r="F16" s="5"/>
      <c r="G16" s="5"/>
      <c r="H16" s="5"/>
      <c r="I16" s="5"/>
      <c r="J16" s="5"/>
      <c r="K16" s="5"/>
      <c r="L16" s="5"/>
      <c r="M16" s="5"/>
    </row>
    <row r="17" spans="1:13" x14ac:dyDescent="0.35">
      <c r="A17" s="5"/>
      <c r="B17" s="5"/>
      <c r="C17" s="5"/>
      <c r="D17" s="5"/>
      <c r="E17" s="5"/>
      <c r="F17" s="5"/>
      <c r="G17" s="5"/>
      <c r="H17" s="5"/>
      <c r="I17" s="5"/>
      <c r="J17" s="5"/>
      <c r="K17" s="5"/>
      <c r="L17" s="5"/>
      <c r="M17" s="5"/>
    </row>
    <row r="18" spans="1:13" x14ac:dyDescent="0.35">
      <c r="A18" s="5"/>
      <c r="B18" s="5"/>
      <c r="C18" s="5"/>
      <c r="D18" s="5"/>
      <c r="E18" s="5"/>
      <c r="F18" s="5"/>
      <c r="G18" s="5"/>
      <c r="H18" s="5"/>
      <c r="I18" s="5"/>
      <c r="J18" s="5"/>
      <c r="K18" s="5"/>
      <c r="L18" s="5"/>
      <c r="M18" s="5"/>
    </row>
    <row r="19" spans="1:13" x14ac:dyDescent="0.35">
      <c r="A19" s="5"/>
      <c r="B19" s="5"/>
      <c r="C19" s="5"/>
      <c r="D19" s="5"/>
      <c r="E19" s="5"/>
      <c r="F19" s="5"/>
      <c r="G19" s="5"/>
      <c r="H19" s="5"/>
      <c r="I19" s="5"/>
      <c r="J19" s="5"/>
      <c r="K19" s="5"/>
      <c r="L19" s="5"/>
      <c r="M19" s="5"/>
    </row>
    <row r="20" spans="1:13" x14ac:dyDescent="0.35">
      <c r="A20" s="5"/>
      <c r="B20" s="5"/>
      <c r="C20" s="5"/>
      <c r="D20" s="5"/>
      <c r="E20" s="5"/>
      <c r="F20" s="5"/>
      <c r="G20" s="5"/>
      <c r="H20" s="5"/>
      <c r="I20" s="5"/>
      <c r="J20" s="5"/>
      <c r="K20" s="5"/>
      <c r="L20" s="5"/>
      <c r="M20"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001E-F82C-4CDC-854C-6E6A033E2F95}">
  <dimension ref="A5:L23"/>
  <sheetViews>
    <sheetView workbookViewId="0"/>
  </sheetViews>
  <sheetFormatPr defaultRowHeight="14.5" x14ac:dyDescent="0.35"/>
  <sheetData>
    <row r="5" spans="1:12" x14ac:dyDescent="0.35">
      <c r="A5" s="5"/>
      <c r="B5" s="5"/>
      <c r="C5" s="5"/>
      <c r="D5" s="5"/>
      <c r="E5" s="5"/>
      <c r="F5" s="5"/>
      <c r="G5" s="5"/>
      <c r="H5" s="5"/>
      <c r="I5" s="5"/>
      <c r="J5" s="5"/>
      <c r="K5" s="5"/>
      <c r="L5" s="5"/>
    </row>
    <row r="6" spans="1:12" x14ac:dyDescent="0.35">
      <c r="A6" s="5"/>
      <c r="B6" s="5"/>
      <c r="C6" s="5"/>
      <c r="D6" s="5"/>
      <c r="E6" s="5"/>
      <c r="F6" s="5"/>
      <c r="G6" s="5"/>
      <c r="H6" s="5"/>
      <c r="I6" s="5"/>
      <c r="J6" s="5"/>
      <c r="K6" s="5"/>
      <c r="L6" s="5"/>
    </row>
    <row r="7" spans="1:12" x14ac:dyDescent="0.35">
      <c r="A7" s="5"/>
      <c r="B7" s="5"/>
      <c r="C7" s="5"/>
      <c r="D7" s="5"/>
      <c r="E7" s="5"/>
      <c r="F7" s="5"/>
      <c r="G7" s="5"/>
      <c r="H7" s="5"/>
      <c r="I7" s="5"/>
      <c r="J7" s="5"/>
      <c r="K7" s="5"/>
      <c r="L7" s="5"/>
    </row>
    <row r="8" spans="1:12" x14ac:dyDescent="0.35">
      <c r="A8" s="5"/>
      <c r="B8" s="5"/>
      <c r="C8" s="5"/>
      <c r="D8" s="5"/>
      <c r="E8" s="5"/>
      <c r="F8" s="5"/>
      <c r="G8" s="5"/>
      <c r="H8" s="5"/>
      <c r="I8" s="5"/>
      <c r="J8" s="5"/>
      <c r="K8" s="5"/>
      <c r="L8" s="5"/>
    </row>
    <row r="9" spans="1:12" x14ac:dyDescent="0.35">
      <c r="A9" s="5"/>
      <c r="B9" s="5"/>
      <c r="C9" s="5"/>
      <c r="D9" s="5"/>
      <c r="E9" s="5"/>
      <c r="F9" s="5"/>
      <c r="G9" s="5"/>
      <c r="H9" s="5"/>
      <c r="I9" s="5"/>
      <c r="J9" s="5"/>
      <c r="K9" s="5"/>
      <c r="L9" s="5"/>
    </row>
    <row r="10" spans="1:12" x14ac:dyDescent="0.35">
      <c r="A10" s="5"/>
      <c r="B10" s="5"/>
      <c r="C10" s="5"/>
      <c r="D10" s="5"/>
      <c r="E10" s="5"/>
      <c r="F10" s="5"/>
      <c r="G10" s="5"/>
      <c r="H10" s="5"/>
      <c r="I10" s="5"/>
      <c r="J10" s="5"/>
      <c r="K10" s="5"/>
      <c r="L10" s="5"/>
    </row>
    <row r="11" spans="1:12" x14ac:dyDescent="0.35">
      <c r="A11" s="5"/>
      <c r="B11" s="5"/>
      <c r="C11" s="5"/>
      <c r="D11" s="5"/>
      <c r="E11" s="5"/>
      <c r="F11" s="5"/>
      <c r="G11" s="5"/>
      <c r="H11" s="5"/>
      <c r="I11" s="5"/>
      <c r="J11" s="5"/>
      <c r="K11" s="5"/>
      <c r="L11" s="5"/>
    </row>
    <row r="12" spans="1:12" x14ac:dyDescent="0.35">
      <c r="A12" s="5"/>
      <c r="B12" s="5"/>
      <c r="C12" s="5"/>
      <c r="D12" s="5"/>
      <c r="E12" s="5"/>
      <c r="F12" s="5"/>
      <c r="G12" s="5"/>
      <c r="H12" s="5"/>
      <c r="I12" s="5"/>
      <c r="J12" s="5"/>
      <c r="K12" s="5"/>
      <c r="L12" s="5"/>
    </row>
    <row r="13" spans="1:12" x14ac:dyDescent="0.35">
      <c r="A13" s="5"/>
      <c r="B13" s="5"/>
      <c r="C13" s="5"/>
      <c r="D13" s="5"/>
      <c r="E13" s="5"/>
      <c r="F13" s="5"/>
      <c r="G13" s="5"/>
      <c r="H13" s="5"/>
      <c r="I13" s="5"/>
      <c r="J13" s="5"/>
      <c r="K13" s="5"/>
      <c r="L13" s="5"/>
    </row>
    <row r="14" spans="1:12" x14ac:dyDescent="0.35">
      <c r="A14" s="5"/>
      <c r="B14" s="5"/>
      <c r="C14" s="5"/>
      <c r="D14" s="5"/>
      <c r="E14" s="5"/>
      <c r="F14" s="5"/>
      <c r="G14" s="5"/>
      <c r="H14" s="5"/>
      <c r="I14" s="5"/>
      <c r="J14" s="5"/>
      <c r="K14" s="5"/>
      <c r="L14" s="5"/>
    </row>
    <row r="15" spans="1:12" x14ac:dyDescent="0.35">
      <c r="A15" s="5"/>
      <c r="B15" s="5"/>
      <c r="C15" s="5"/>
      <c r="D15" s="5"/>
      <c r="E15" s="5"/>
      <c r="F15" s="5"/>
      <c r="G15" s="5"/>
      <c r="H15" s="5"/>
      <c r="I15" s="5"/>
      <c r="J15" s="5"/>
      <c r="K15" s="5"/>
      <c r="L15" s="5"/>
    </row>
    <row r="16" spans="1:12" x14ac:dyDescent="0.35">
      <c r="A16" s="5"/>
      <c r="B16" s="5"/>
      <c r="C16" s="5"/>
      <c r="D16" s="5"/>
      <c r="E16" s="5"/>
      <c r="F16" s="5"/>
      <c r="G16" s="5"/>
      <c r="H16" s="5"/>
      <c r="I16" s="5"/>
      <c r="J16" s="5"/>
      <c r="K16" s="5"/>
      <c r="L16" s="5"/>
    </row>
    <row r="17" spans="1:12" x14ac:dyDescent="0.35">
      <c r="A17" s="5"/>
      <c r="B17" s="5"/>
      <c r="C17" s="5"/>
      <c r="D17" s="5"/>
      <c r="E17" s="5"/>
      <c r="F17" s="5"/>
      <c r="G17" s="5"/>
      <c r="H17" s="5"/>
      <c r="I17" s="5"/>
      <c r="J17" s="5"/>
      <c r="K17" s="5"/>
      <c r="L17" s="5"/>
    </row>
    <row r="18" spans="1:12" x14ac:dyDescent="0.35">
      <c r="A18" s="5"/>
      <c r="B18" s="5"/>
      <c r="C18" s="5"/>
      <c r="D18" s="5"/>
      <c r="E18" s="5"/>
      <c r="F18" s="5"/>
      <c r="G18" s="5"/>
      <c r="H18" s="5"/>
      <c r="I18" s="5"/>
      <c r="J18" s="5"/>
      <c r="K18" s="5"/>
      <c r="L18" s="5"/>
    </row>
    <row r="19" spans="1:12" x14ac:dyDescent="0.35">
      <c r="A19" s="5"/>
      <c r="B19" s="5"/>
      <c r="C19" s="5"/>
      <c r="D19" s="5"/>
      <c r="E19" s="5"/>
      <c r="F19" s="5"/>
      <c r="G19" s="5"/>
      <c r="H19" s="5"/>
      <c r="I19" s="5"/>
      <c r="J19" s="5"/>
      <c r="K19" s="5"/>
      <c r="L19" s="5"/>
    </row>
    <row r="20" spans="1:12" x14ac:dyDescent="0.35">
      <c r="A20" s="5"/>
      <c r="B20" s="5"/>
      <c r="C20" s="5"/>
      <c r="D20" s="5"/>
      <c r="E20" s="5"/>
      <c r="F20" s="5"/>
      <c r="G20" s="5"/>
      <c r="H20" s="5"/>
      <c r="I20" s="5"/>
      <c r="J20" s="5"/>
      <c r="K20" s="5"/>
      <c r="L20" s="5"/>
    </row>
    <row r="21" spans="1:12" x14ac:dyDescent="0.35">
      <c r="A21" s="5"/>
      <c r="B21" s="5"/>
      <c r="C21" s="5"/>
      <c r="D21" s="5"/>
      <c r="E21" s="5"/>
      <c r="F21" s="5"/>
      <c r="G21" s="5"/>
      <c r="H21" s="5"/>
      <c r="I21" s="5"/>
      <c r="J21" s="5"/>
      <c r="K21" s="5"/>
      <c r="L21" s="5"/>
    </row>
    <row r="22" spans="1:12" x14ac:dyDescent="0.35">
      <c r="A22" s="5"/>
      <c r="B22" s="5"/>
      <c r="C22" s="5"/>
      <c r="D22" s="5"/>
      <c r="E22" s="5"/>
      <c r="F22" s="5"/>
      <c r="G22" s="5"/>
      <c r="H22" s="5"/>
      <c r="I22" s="5"/>
      <c r="J22" s="5"/>
      <c r="K22" s="5"/>
      <c r="L22" s="5"/>
    </row>
    <row r="23" spans="1:12" x14ac:dyDescent="0.35">
      <c r="A23" s="5"/>
      <c r="B23" s="5"/>
      <c r="C23" s="5"/>
      <c r="D23" s="5"/>
      <c r="E23" s="5"/>
      <c r="F23" s="5"/>
      <c r="G23" s="5"/>
      <c r="H23" s="5"/>
      <c r="I23" s="5"/>
      <c r="J23" s="5"/>
      <c r="K23" s="5"/>
      <c r="L23"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5D6C-6689-4336-8021-B518874D4E06}">
  <dimension ref="B1:N23"/>
  <sheetViews>
    <sheetView workbookViewId="0"/>
  </sheetViews>
  <sheetFormatPr defaultRowHeight="14.5" x14ac:dyDescent="0.35"/>
  <sheetData>
    <row r="1" spans="2:14" x14ac:dyDescent="0.35">
      <c r="B1" s="5"/>
      <c r="C1" s="5"/>
      <c r="D1" s="5"/>
      <c r="E1" s="5"/>
      <c r="F1" s="5"/>
      <c r="G1" s="5"/>
      <c r="H1" s="5"/>
      <c r="I1" s="5"/>
      <c r="J1" s="5"/>
      <c r="K1" s="5"/>
      <c r="L1" s="5"/>
      <c r="M1" s="5"/>
      <c r="N1" s="5"/>
    </row>
    <row r="2" spans="2:14" x14ac:dyDescent="0.35">
      <c r="B2" s="5"/>
      <c r="C2" s="5"/>
      <c r="D2" s="5"/>
      <c r="E2" s="5"/>
      <c r="F2" s="5"/>
      <c r="G2" s="5"/>
      <c r="H2" s="5"/>
      <c r="I2" s="5"/>
      <c r="J2" s="5"/>
      <c r="K2" s="5"/>
      <c r="L2" s="5"/>
      <c r="M2" s="5"/>
      <c r="N2" s="5"/>
    </row>
    <row r="3" spans="2:14" x14ac:dyDescent="0.35">
      <c r="B3" s="5"/>
      <c r="C3" s="5"/>
      <c r="D3" s="5"/>
      <c r="E3" s="5"/>
      <c r="F3" s="5"/>
      <c r="G3" s="5"/>
      <c r="H3" s="5"/>
      <c r="I3" s="5"/>
      <c r="J3" s="5"/>
      <c r="K3" s="5"/>
      <c r="L3" s="5"/>
      <c r="M3" s="5"/>
      <c r="N3" s="5"/>
    </row>
    <row r="4" spans="2:14" x14ac:dyDescent="0.35">
      <c r="B4" s="5"/>
      <c r="C4" s="5"/>
      <c r="D4" s="5"/>
      <c r="E4" s="5"/>
      <c r="F4" s="5"/>
      <c r="G4" s="5"/>
      <c r="H4" s="5"/>
      <c r="I4" s="5"/>
      <c r="J4" s="5"/>
      <c r="K4" s="5"/>
      <c r="L4" s="5"/>
      <c r="M4" s="5"/>
      <c r="N4" s="5"/>
    </row>
    <row r="5" spans="2:14" x14ac:dyDescent="0.35">
      <c r="B5" s="5"/>
      <c r="C5" s="5"/>
      <c r="D5" s="5"/>
      <c r="E5" s="5"/>
      <c r="F5" s="5"/>
      <c r="G5" s="5"/>
      <c r="H5" s="5"/>
      <c r="I5" s="5"/>
      <c r="J5" s="5"/>
      <c r="K5" s="5"/>
      <c r="L5" s="5"/>
      <c r="M5" s="5"/>
      <c r="N5" s="5"/>
    </row>
    <row r="6" spans="2:14" x14ac:dyDescent="0.35">
      <c r="B6" s="5"/>
      <c r="C6" s="5"/>
      <c r="D6" s="5"/>
      <c r="E6" s="5"/>
      <c r="F6" s="5"/>
      <c r="G6" s="5"/>
      <c r="H6" s="5"/>
      <c r="I6" s="5"/>
      <c r="J6" s="5"/>
      <c r="K6" s="5"/>
      <c r="L6" s="5"/>
      <c r="M6" s="5"/>
      <c r="N6" s="5"/>
    </row>
    <row r="7" spans="2:14" x14ac:dyDescent="0.35">
      <c r="B7" s="5"/>
      <c r="C7" s="5"/>
      <c r="D7" s="5"/>
      <c r="E7" s="5"/>
      <c r="F7" s="5"/>
      <c r="G7" s="5"/>
      <c r="H7" s="5"/>
      <c r="I7" s="5"/>
      <c r="J7" s="5"/>
      <c r="K7" s="5"/>
      <c r="L7" s="5"/>
      <c r="M7" s="5"/>
      <c r="N7" s="5"/>
    </row>
    <row r="8" spans="2:14" x14ac:dyDescent="0.35">
      <c r="B8" s="5"/>
      <c r="C8" s="5"/>
      <c r="D8" s="5"/>
      <c r="E8" s="5"/>
      <c r="F8" s="5"/>
      <c r="G8" s="5"/>
      <c r="H8" s="5"/>
      <c r="I8" s="5"/>
      <c r="J8" s="5"/>
      <c r="K8" s="5"/>
      <c r="L8" s="5"/>
      <c r="M8" s="5"/>
      <c r="N8" s="5"/>
    </row>
    <row r="9" spans="2:14" x14ac:dyDescent="0.35">
      <c r="B9" s="5"/>
      <c r="C9" s="5"/>
      <c r="D9" s="5"/>
      <c r="E9" s="5"/>
      <c r="F9" s="5"/>
      <c r="G9" s="5"/>
      <c r="H9" s="5"/>
      <c r="I9" s="5"/>
      <c r="J9" s="5"/>
      <c r="K9" s="5"/>
      <c r="L9" s="5"/>
      <c r="M9" s="5"/>
      <c r="N9" s="5"/>
    </row>
    <row r="10" spans="2:14" x14ac:dyDescent="0.35">
      <c r="B10" s="5"/>
      <c r="C10" s="5"/>
      <c r="D10" s="5"/>
      <c r="E10" s="5"/>
      <c r="F10" s="5"/>
      <c r="G10" s="5"/>
      <c r="H10" s="5"/>
      <c r="I10" s="5"/>
      <c r="J10" s="5"/>
      <c r="K10" s="5"/>
      <c r="L10" s="5"/>
      <c r="M10" s="5"/>
      <c r="N10" s="5"/>
    </row>
    <row r="11" spans="2:14" x14ac:dyDescent="0.35">
      <c r="B11" s="5"/>
      <c r="C11" s="5"/>
      <c r="D11" s="5"/>
      <c r="E11" s="5"/>
      <c r="F11" s="5"/>
      <c r="G11" s="5"/>
      <c r="H11" s="5"/>
      <c r="I11" s="5"/>
      <c r="J11" s="5"/>
      <c r="K11" s="5"/>
      <c r="L11" s="5"/>
      <c r="M11" s="5"/>
      <c r="N11" s="5"/>
    </row>
    <row r="12" spans="2:14" x14ac:dyDescent="0.35">
      <c r="B12" s="5"/>
      <c r="C12" s="5"/>
      <c r="D12" s="5"/>
      <c r="E12" s="5"/>
      <c r="F12" s="5"/>
      <c r="G12" s="5"/>
      <c r="H12" s="5"/>
      <c r="I12" s="5"/>
      <c r="J12" s="5"/>
      <c r="K12" s="5"/>
      <c r="L12" s="5"/>
      <c r="M12" s="5"/>
      <c r="N12" s="5"/>
    </row>
    <row r="13" spans="2:14" x14ac:dyDescent="0.35">
      <c r="B13" s="5"/>
      <c r="C13" s="5"/>
      <c r="D13" s="5"/>
      <c r="E13" s="5"/>
      <c r="F13" s="5"/>
      <c r="G13" s="5"/>
      <c r="H13" s="5"/>
      <c r="I13" s="5"/>
      <c r="J13" s="5"/>
      <c r="K13" s="5"/>
      <c r="L13" s="5"/>
      <c r="M13" s="5"/>
      <c r="N13" s="5"/>
    </row>
    <row r="14" spans="2:14" x14ac:dyDescent="0.35">
      <c r="B14" s="5"/>
      <c r="C14" s="5"/>
      <c r="D14" s="5"/>
      <c r="E14" s="5"/>
      <c r="F14" s="5"/>
      <c r="G14" s="5"/>
      <c r="H14" s="5"/>
      <c r="I14" s="5"/>
      <c r="J14" s="5"/>
      <c r="K14" s="5"/>
      <c r="L14" s="5"/>
      <c r="M14" s="5"/>
      <c r="N14" s="5"/>
    </row>
    <row r="15" spans="2:14" x14ac:dyDescent="0.35">
      <c r="B15" s="5"/>
      <c r="C15" s="5"/>
      <c r="D15" s="5"/>
      <c r="E15" s="5"/>
      <c r="F15" s="5"/>
      <c r="G15" s="5"/>
      <c r="H15" s="5"/>
      <c r="I15" s="5"/>
      <c r="J15" s="5"/>
      <c r="K15" s="5"/>
      <c r="L15" s="5"/>
      <c r="M15" s="5"/>
      <c r="N15" s="5"/>
    </row>
    <row r="16" spans="2:14" x14ac:dyDescent="0.35">
      <c r="B16" s="5"/>
      <c r="C16" s="5"/>
      <c r="D16" s="5"/>
      <c r="E16" s="5"/>
      <c r="F16" s="5"/>
      <c r="G16" s="5"/>
      <c r="H16" s="5"/>
      <c r="I16" s="5"/>
      <c r="J16" s="5"/>
      <c r="K16" s="5"/>
      <c r="L16" s="5"/>
      <c r="M16" s="5"/>
      <c r="N16" s="5"/>
    </row>
    <row r="17" spans="2:14" x14ac:dyDescent="0.35">
      <c r="B17" s="5"/>
      <c r="C17" s="5"/>
      <c r="D17" s="5"/>
      <c r="E17" s="5"/>
      <c r="F17" s="5"/>
      <c r="G17" s="5"/>
      <c r="H17" s="5"/>
      <c r="I17" s="5"/>
      <c r="J17" s="5"/>
      <c r="K17" s="5"/>
      <c r="L17" s="5"/>
      <c r="M17" s="5"/>
      <c r="N17" s="5"/>
    </row>
    <row r="18" spans="2:14" x14ac:dyDescent="0.35">
      <c r="B18" s="5"/>
      <c r="C18" s="5"/>
      <c r="D18" s="5"/>
      <c r="E18" s="5"/>
      <c r="F18" s="5"/>
      <c r="G18" s="5"/>
      <c r="H18" s="5"/>
      <c r="I18" s="5"/>
      <c r="J18" s="5"/>
      <c r="K18" s="5"/>
      <c r="L18" s="5"/>
      <c r="M18" s="5"/>
      <c r="N18" s="5"/>
    </row>
    <row r="19" spans="2:14" x14ac:dyDescent="0.35">
      <c r="B19" s="5"/>
      <c r="C19" s="5"/>
      <c r="D19" s="5"/>
      <c r="E19" s="5"/>
      <c r="F19" s="5"/>
      <c r="G19" s="5"/>
      <c r="H19" s="5"/>
      <c r="I19" s="5"/>
      <c r="J19" s="5"/>
      <c r="K19" s="5"/>
      <c r="L19" s="5"/>
      <c r="M19" s="5"/>
      <c r="N19" s="5"/>
    </row>
    <row r="20" spans="2:14" x14ac:dyDescent="0.35">
      <c r="B20" s="5"/>
      <c r="C20" s="5"/>
      <c r="D20" s="5"/>
      <c r="E20" s="5"/>
      <c r="F20" s="5"/>
      <c r="G20" s="5"/>
      <c r="H20" s="5"/>
      <c r="I20" s="5"/>
      <c r="J20" s="5"/>
      <c r="K20" s="5"/>
      <c r="L20" s="5"/>
      <c r="M20" s="5"/>
      <c r="N20" s="5"/>
    </row>
    <row r="21" spans="2:14" x14ac:dyDescent="0.35">
      <c r="B21" s="5"/>
      <c r="C21" s="5"/>
      <c r="D21" s="5"/>
      <c r="E21" s="5"/>
      <c r="F21" s="5"/>
      <c r="G21" s="5"/>
      <c r="H21" s="5"/>
      <c r="I21" s="5"/>
      <c r="J21" s="5"/>
      <c r="K21" s="5"/>
      <c r="L21" s="5"/>
      <c r="M21" s="5"/>
      <c r="N21" s="5"/>
    </row>
    <row r="22" spans="2:14" x14ac:dyDescent="0.35">
      <c r="B22" s="5"/>
      <c r="C22" s="5"/>
      <c r="D22" s="5"/>
      <c r="E22" s="5"/>
      <c r="F22" s="5"/>
      <c r="G22" s="5"/>
      <c r="H22" s="5"/>
      <c r="I22" s="5"/>
      <c r="J22" s="5"/>
      <c r="K22" s="5"/>
      <c r="L22" s="5"/>
      <c r="M22" s="5"/>
      <c r="N22" s="5"/>
    </row>
    <row r="23" spans="2:14" x14ac:dyDescent="0.35">
      <c r="B23" s="5"/>
      <c r="C23" s="5"/>
      <c r="D23" s="5"/>
      <c r="E23" s="5"/>
      <c r="F23" s="5"/>
      <c r="G23" s="5"/>
      <c r="H23" s="5"/>
      <c r="I23" s="5"/>
      <c r="J23" s="5"/>
      <c r="K23" s="5"/>
      <c r="L23" s="5"/>
      <c r="M23" s="5"/>
      <c r="N23"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9569249-56A6-498D-96D8-E2BAD220E7FE}">
  <ds:schemaRefs/>
</ds:datastoreItem>
</file>

<file path=customXml/itemProps2.xml><?xml version="1.0" encoding="utf-8"?>
<ds:datastoreItem xmlns:ds="http://schemas.openxmlformats.org/officeDocument/2006/customXml" ds:itemID="{E17CA48D-5144-4DA0-8265-086C908BA929}">
  <ds:schemaRefs/>
</ds:datastoreItem>
</file>

<file path=customXml/itemProps3.xml><?xml version="1.0" encoding="utf-8"?>
<ds:datastoreItem xmlns:ds="http://schemas.openxmlformats.org/officeDocument/2006/customXml" ds:itemID="{CAF8FF2A-8AFA-460A-85DD-A41C3A54ED6A}">
  <ds:schemaRefs/>
</ds:datastoreItem>
</file>

<file path=customXml/itemProps4.xml><?xml version="1.0" encoding="utf-8"?>
<ds:datastoreItem xmlns:ds="http://schemas.openxmlformats.org/officeDocument/2006/customXml" ds:itemID="{A6D8B2A9-4DD5-4598-8A66-81DA5AA16782}">
  <ds:schemaRefs/>
</ds:datastoreItem>
</file>

<file path=customXml/itemProps5.xml><?xml version="1.0" encoding="utf-8"?>
<ds:datastoreItem xmlns:ds="http://schemas.openxmlformats.org/officeDocument/2006/customXml" ds:itemID="{40DD45E0-F310-4EE7-91AF-CE2DB18D08D8}">
  <ds:schemaRefs/>
</ds:datastoreItem>
</file>

<file path=customXml/itemProps6.xml><?xml version="1.0" encoding="utf-8"?>
<ds:datastoreItem xmlns:ds="http://schemas.openxmlformats.org/officeDocument/2006/customXml" ds:itemID="{8C56B498-26B6-480B-ACD8-1773ADC90406}">
  <ds:schemaRefs/>
</ds:datastoreItem>
</file>

<file path=customXml/itemProps7.xml><?xml version="1.0" encoding="utf-8"?>
<ds:datastoreItem xmlns:ds="http://schemas.openxmlformats.org/officeDocument/2006/customXml" ds:itemID="{79E649DC-44DD-4CFB-8009-7245F2DC7F66}">
  <ds:schemaRefs/>
</ds:datastoreItem>
</file>

<file path=customXml/itemProps8.xml><?xml version="1.0" encoding="utf-8"?>
<ds:datastoreItem xmlns:ds="http://schemas.openxmlformats.org/officeDocument/2006/customXml" ds:itemID="{B2E86867-C6AE-4E37-BE8D-28D046728340}">
  <ds:schemaRefs/>
</ds:datastoreItem>
</file>

<file path=customXml/itemProps9.xml><?xml version="1.0" encoding="utf-8"?>
<ds:datastoreItem xmlns:ds="http://schemas.openxmlformats.org/officeDocument/2006/customXml" ds:itemID="{197E5509-A193-4369-B45C-D7C555AB2694}">
  <ds:schemaRefs/>
</ds:datastoreItem>
</file>

<file path=customXml/itemProps10.xml><?xml version="1.0" encoding="utf-8"?>
<ds:datastoreItem xmlns:ds="http://schemas.openxmlformats.org/officeDocument/2006/customXml" ds:itemID="{DAC831A4-D916-4A21-BA08-CC5CC9616ED9}">
  <ds:schemaRefs/>
</ds:datastoreItem>
</file>

<file path=customXml/itemProps11.xml><?xml version="1.0" encoding="utf-8"?>
<ds:datastoreItem xmlns:ds="http://schemas.openxmlformats.org/officeDocument/2006/customXml" ds:itemID="{55FF19F4-9818-4761-97ED-EC88D6DE63F4}">
  <ds:schemaRefs/>
</ds:datastoreItem>
</file>

<file path=customXml/itemProps12.xml><?xml version="1.0" encoding="utf-8"?>
<ds:datastoreItem xmlns:ds="http://schemas.openxmlformats.org/officeDocument/2006/customXml" ds:itemID="{0A1FFC4F-242C-4D17-B649-E289F0119D1F}">
  <ds:schemaRefs/>
</ds:datastoreItem>
</file>

<file path=customXml/itemProps13.xml><?xml version="1.0" encoding="utf-8"?>
<ds:datastoreItem xmlns:ds="http://schemas.openxmlformats.org/officeDocument/2006/customXml" ds:itemID="{71883BD5-E9D2-4720-BE6A-42F79672A4B8}">
  <ds:schemaRefs>
    <ds:schemaRef ds:uri="http://schemas.microsoft.com/DataMashup"/>
  </ds:schemaRefs>
</ds:datastoreItem>
</file>

<file path=customXml/itemProps14.xml><?xml version="1.0" encoding="utf-8"?>
<ds:datastoreItem xmlns:ds="http://schemas.openxmlformats.org/officeDocument/2006/customXml" ds:itemID="{9D6ABAE8-470F-4C7F-B2CD-225687074500}">
  <ds:schemaRefs/>
</ds:datastoreItem>
</file>

<file path=customXml/itemProps15.xml><?xml version="1.0" encoding="utf-8"?>
<ds:datastoreItem xmlns:ds="http://schemas.openxmlformats.org/officeDocument/2006/customXml" ds:itemID="{06E87A05-B195-4BBB-B094-5FDAC77454FA}">
  <ds:schemaRefs/>
</ds:datastoreItem>
</file>

<file path=customXml/itemProps16.xml><?xml version="1.0" encoding="utf-8"?>
<ds:datastoreItem xmlns:ds="http://schemas.openxmlformats.org/officeDocument/2006/customXml" ds:itemID="{7E35132B-DF75-4D9B-8AA9-BA979999713F}">
  <ds:schemaRefs/>
</ds:datastoreItem>
</file>

<file path=customXml/itemProps17.xml><?xml version="1.0" encoding="utf-8"?>
<ds:datastoreItem xmlns:ds="http://schemas.openxmlformats.org/officeDocument/2006/customXml" ds:itemID="{4BBE22FF-8288-46C6-823C-AF6BB233C524}">
  <ds:schemaRefs/>
</ds:datastoreItem>
</file>

<file path=customXml/itemProps18.xml><?xml version="1.0" encoding="utf-8"?>
<ds:datastoreItem xmlns:ds="http://schemas.openxmlformats.org/officeDocument/2006/customXml" ds:itemID="{54DE1A37-B933-4F34-A24F-1479A12DBA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 </vt:lpstr>
      <vt:lpstr>Sheet5</vt:lpstr>
      <vt:lpstr>Sheet1</vt:lpstr>
      <vt:lpstr>no of patiece </vt:lpstr>
      <vt:lpstr>average patieece </vt:lpstr>
      <vt:lpstr>satisfy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Yadav</dc:creator>
  <cp:lastModifiedBy>VINAY Yadav</cp:lastModifiedBy>
  <dcterms:created xsi:type="dcterms:W3CDTF">2026-05-07T19:13:44Z</dcterms:created>
  <dcterms:modified xsi:type="dcterms:W3CDTF">2026-05-20T19:01:34Z</dcterms:modified>
</cp:coreProperties>
</file>